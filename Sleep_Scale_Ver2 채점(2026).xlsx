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kyungjinyu/Desktop/Sleep_exam/"/>
    </mc:Choice>
  </mc:AlternateContent>
  <xr:revisionPtr revIDLastSave="0" documentId="13_ncr:1_{48665B3F-5B6D-D448-90EA-3EBC6C8736C6}" xr6:coauthVersionLast="47" xr6:coauthVersionMax="47" xr10:uidLastSave="{00000000-0000-0000-0000-000000000000}"/>
  <bookViews>
    <workbookView xWindow="5760" yWindow="1900" windowWidth="30660" windowHeight="17660" xr2:uid="{00000000-000D-0000-FFFF-FFFF00000000}"/>
  </bookViews>
  <sheets>
    <sheet name="Sleep Scale Ver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G8" i="1" l="1"/>
  <c r="FH8" i="1" s="1"/>
  <c r="FG9" i="1"/>
  <c r="FH9" i="1" s="1"/>
  <c r="FG10" i="1"/>
  <c r="FH10" i="1" s="1"/>
  <c r="FG11" i="1"/>
  <c r="FH11" i="1" s="1"/>
  <c r="FG12" i="1"/>
  <c r="FH12" i="1" s="1"/>
  <c r="FG13" i="1"/>
  <c r="FH13" i="1" s="1"/>
  <c r="FG14" i="1"/>
  <c r="FH14" i="1" s="1"/>
  <c r="FG15" i="1"/>
  <c r="FH15" i="1" s="1"/>
  <c r="FG16" i="1"/>
  <c r="FH16" i="1" s="1"/>
  <c r="FG17" i="1"/>
  <c r="FH17" i="1" s="1"/>
  <c r="FG18" i="1"/>
  <c r="FH18" i="1" s="1"/>
  <c r="FG19" i="1"/>
  <c r="FH19" i="1" s="1"/>
  <c r="FG20" i="1"/>
  <c r="FH20" i="1" s="1"/>
  <c r="FG21" i="1"/>
  <c r="FH21" i="1" s="1"/>
  <c r="FG22" i="1"/>
  <c r="FH22" i="1" s="1"/>
  <c r="FG23" i="1"/>
  <c r="FH23" i="1" s="1"/>
  <c r="FG24" i="1"/>
  <c r="FH24" i="1" s="1"/>
  <c r="FG25" i="1"/>
  <c r="FH25" i="1" s="1"/>
  <c r="FG26" i="1"/>
  <c r="FH26" i="1" s="1"/>
  <c r="FG27" i="1"/>
  <c r="FH27" i="1" s="1"/>
  <c r="FG28" i="1"/>
  <c r="FH28" i="1" s="1"/>
  <c r="FG29" i="1"/>
  <c r="FH29" i="1" s="1"/>
  <c r="FG30" i="1"/>
  <c r="FH30" i="1" s="1"/>
  <c r="FG31" i="1"/>
  <c r="FH31" i="1" s="1"/>
  <c r="FG32" i="1"/>
  <c r="FH32" i="1" s="1"/>
  <c r="FG33" i="1"/>
  <c r="FH33" i="1" s="1"/>
  <c r="FG34" i="1"/>
  <c r="FH34" i="1" s="1"/>
  <c r="FG35" i="1"/>
  <c r="FH35" i="1" s="1"/>
  <c r="FG36" i="1"/>
  <c r="FH36" i="1" s="1"/>
  <c r="FG37" i="1"/>
  <c r="FH37" i="1" s="1"/>
  <c r="FG38" i="1"/>
  <c r="FH38" i="1" s="1"/>
  <c r="FG39" i="1"/>
  <c r="FH39" i="1" s="1"/>
  <c r="FG40" i="1"/>
  <c r="FH40" i="1" s="1"/>
  <c r="FG41" i="1"/>
  <c r="FH41" i="1" s="1"/>
  <c r="FG42" i="1"/>
  <c r="FH42" i="1" s="1"/>
  <c r="FG43" i="1"/>
  <c r="FH43" i="1" s="1"/>
  <c r="FG44" i="1"/>
  <c r="FH44" i="1" s="1"/>
  <c r="FG45" i="1"/>
  <c r="FH45" i="1" s="1"/>
  <c r="FG46" i="1"/>
  <c r="FH46" i="1" s="1"/>
  <c r="FG47" i="1"/>
  <c r="FH47" i="1" s="1"/>
  <c r="FG48" i="1"/>
  <c r="FH48" i="1" s="1"/>
  <c r="FG49" i="1"/>
  <c r="FH49" i="1" s="1"/>
  <c r="FG50" i="1"/>
  <c r="FH50" i="1" s="1"/>
  <c r="FG51" i="1"/>
  <c r="FH51" i="1" s="1"/>
  <c r="FG52" i="1"/>
  <c r="FH52" i="1" s="1"/>
  <c r="FG53" i="1"/>
  <c r="FH53" i="1" s="1"/>
  <c r="FG54" i="1"/>
  <c r="FH54" i="1" s="1"/>
  <c r="FG55" i="1"/>
  <c r="FH55" i="1" s="1"/>
  <c r="FG56" i="1"/>
  <c r="FH56" i="1" s="1"/>
  <c r="FG57" i="1"/>
  <c r="FH57" i="1" s="1"/>
  <c r="FG58" i="1"/>
  <c r="FH58" i="1" s="1"/>
  <c r="FG59" i="1"/>
  <c r="FH59" i="1" s="1"/>
  <c r="FG60" i="1"/>
  <c r="FH60" i="1" s="1"/>
  <c r="FG61" i="1"/>
  <c r="FH61" i="1" s="1"/>
  <c r="FG62" i="1"/>
  <c r="FH62" i="1" s="1"/>
  <c r="FG63" i="1"/>
  <c r="FH63" i="1" s="1"/>
  <c r="FG64" i="1"/>
  <c r="FH64" i="1" s="1"/>
  <c r="FG65" i="1"/>
  <c r="FH65" i="1" s="1"/>
  <c r="FG66" i="1"/>
  <c r="FH66" i="1" s="1"/>
  <c r="FG67" i="1"/>
  <c r="FH67" i="1" s="1"/>
  <c r="FG68" i="1"/>
  <c r="FH68" i="1" s="1"/>
  <c r="FG69" i="1"/>
  <c r="FH69" i="1" s="1"/>
  <c r="FG70" i="1"/>
  <c r="FH70" i="1" s="1"/>
  <c r="FG71" i="1"/>
  <c r="FH71" i="1" s="1"/>
  <c r="FG72" i="1"/>
  <c r="FH72" i="1" s="1"/>
  <c r="FG73" i="1"/>
  <c r="FH73" i="1" s="1"/>
  <c r="FG74" i="1"/>
  <c r="FH74" i="1" s="1"/>
  <c r="FG75" i="1"/>
  <c r="FH75" i="1" s="1"/>
  <c r="FG76" i="1"/>
  <c r="FH76" i="1" s="1"/>
  <c r="FG77" i="1"/>
  <c r="FH77" i="1" s="1"/>
  <c r="FG78" i="1"/>
  <c r="FH78" i="1" s="1"/>
  <c r="FG79" i="1"/>
  <c r="FH79" i="1" s="1"/>
  <c r="FG80" i="1"/>
  <c r="FH80" i="1" s="1"/>
  <c r="FG81" i="1"/>
  <c r="FH81" i="1" s="1"/>
  <c r="FG82" i="1"/>
  <c r="FH82" i="1" s="1"/>
  <c r="FG83" i="1"/>
  <c r="FH83" i="1" s="1"/>
  <c r="FG84" i="1"/>
  <c r="FH84" i="1" s="1"/>
  <c r="FG85" i="1"/>
  <c r="FH85" i="1" s="1"/>
  <c r="FG86" i="1"/>
  <c r="FH86" i="1" s="1"/>
  <c r="FG87" i="1"/>
  <c r="FH87" i="1" s="1"/>
  <c r="FG88" i="1"/>
  <c r="FH88" i="1" s="1"/>
  <c r="FG89" i="1"/>
  <c r="FH89" i="1" s="1"/>
  <c r="FG90" i="1"/>
  <c r="FH90" i="1" s="1"/>
  <c r="FG91" i="1"/>
  <c r="FH91" i="1" s="1"/>
  <c r="FG92" i="1"/>
  <c r="FH92" i="1" s="1"/>
  <c r="FG93" i="1"/>
  <c r="FH93" i="1" s="1"/>
  <c r="FG94" i="1"/>
  <c r="FH94" i="1" s="1"/>
  <c r="FG95" i="1"/>
  <c r="FH95" i="1" s="1"/>
  <c r="FG96" i="1"/>
  <c r="FH96" i="1" s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K53" i="1"/>
  <c r="GL53" i="1"/>
  <c r="GM53" i="1"/>
  <c r="GN53" i="1"/>
  <c r="GO53" i="1"/>
  <c r="GP53" i="1"/>
  <c r="GQ53" i="1"/>
  <c r="GR53" i="1"/>
  <c r="GS53" i="1"/>
  <c r="GT53" i="1"/>
  <c r="GU53" i="1"/>
  <c r="GV53" i="1"/>
  <c r="GW53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K56" i="1"/>
  <c r="GL56" i="1"/>
  <c r="GM56" i="1"/>
  <c r="GN56" i="1"/>
  <c r="GO56" i="1"/>
  <c r="GP56" i="1"/>
  <c r="GQ56" i="1"/>
  <c r="GR56" i="1"/>
  <c r="GS56" i="1"/>
  <c r="GT56" i="1"/>
  <c r="GU56" i="1"/>
  <c r="GV56" i="1"/>
  <c r="GW56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K59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K65" i="1"/>
  <c r="GL65" i="1"/>
  <c r="GM65" i="1"/>
  <c r="GN65" i="1"/>
  <c r="GO65" i="1"/>
  <c r="GP65" i="1"/>
  <c r="GQ65" i="1"/>
  <c r="GR65" i="1"/>
  <c r="GS65" i="1"/>
  <c r="GT65" i="1"/>
  <c r="GU65" i="1"/>
  <c r="GV65" i="1"/>
  <c r="GW65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K68" i="1"/>
  <c r="GL68" i="1"/>
  <c r="GM68" i="1"/>
  <c r="GN68" i="1"/>
  <c r="GO68" i="1"/>
  <c r="GP68" i="1"/>
  <c r="GQ68" i="1"/>
  <c r="GR68" i="1"/>
  <c r="GS68" i="1"/>
  <c r="GT68" i="1"/>
  <c r="GU68" i="1"/>
  <c r="GV68" i="1"/>
  <c r="GW68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K76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K77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K78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K82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K84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K86" i="1"/>
  <c r="GL86" i="1"/>
  <c r="GM86" i="1"/>
  <c r="GN86" i="1"/>
  <c r="GO86" i="1"/>
  <c r="GP86" i="1"/>
  <c r="GQ86" i="1"/>
  <c r="GR86" i="1"/>
  <c r="GS86" i="1"/>
  <c r="GT86" i="1"/>
  <c r="GU86" i="1"/>
  <c r="GV86" i="1"/>
  <c r="GW86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K90" i="1"/>
  <c r="GL90" i="1"/>
  <c r="GM90" i="1"/>
  <c r="GN90" i="1"/>
  <c r="GO90" i="1"/>
  <c r="GP90" i="1"/>
  <c r="GQ90" i="1"/>
  <c r="GR90" i="1"/>
  <c r="GS90" i="1"/>
  <c r="GT90" i="1"/>
  <c r="GU90" i="1"/>
  <c r="GV90" i="1"/>
  <c r="GW90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K92" i="1"/>
  <c r="GL92" i="1"/>
  <c r="GM92" i="1"/>
  <c r="GN92" i="1"/>
  <c r="GO92" i="1"/>
  <c r="GP92" i="1"/>
  <c r="GQ92" i="1"/>
  <c r="GR92" i="1"/>
  <c r="GS92" i="1"/>
  <c r="GT92" i="1"/>
  <c r="GU92" i="1"/>
  <c r="GV92" i="1"/>
  <c r="GW92" i="1"/>
  <c r="GK93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K94" i="1"/>
  <c r="GL94" i="1"/>
  <c r="GM94" i="1"/>
  <c r="GN94" i="1"/>
  <c r="GO94" i="1"/>
  <c r="GP94" i="1"/>
  <c r="GQ94" i="1"/>
  <c r="GR94" i="1"/>
  <c r="GS94" i="1"/>
  <c r="GT94" i="1"/>
  <c r="GU94" i="1"/>
  <c r="GV94" i="1"/>
  <c r="GW94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K97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K98" i="1"/>
  <c r="GL98" i="1"/>
  <c r="GM98" i="1"/>
  <c r="GN98" i="1"/>
  <c r="GO98" i="1"/>
  <c r="GP98" i="1"/>
  <c r="GQ98" i="1"/>
  <c r="GR98" i="1"/>
  <c r="GS98" i="1"/>
  <c r="GT98" i="1"/>
  <c r="GU98" i="1"/>
  <c r="GV98" i="1"/>
  <c r="GW98" i="1"/>
  <c r="GK99" i="1"/>
  <c r="GL99" i="1"/>
  <c r="GM99" i="1"/>
  <c r="GN99" i="1"/>
  <c r="GO99" i="1"/>
  <c r="GP99" i="1"/>
  <c r="GQ99" i="1"/>
  <c r="GR99" i="1"/>
  <c r="GS99" i="1"/>
  <c r="GT99" i="1"/>
  <c r="GU99" i="1"/>
  <c r="GV99" i="1"/>
  <c r="GW99" i="1"/>
  <c r="GK100" i="1"/>
  <c r="GL100" i="1"/>
  <c r="GM100" i="1"/>
  <c r="GN100" i="1"/>
  <c r="GO100" i="1"/>
  <c r="GP100" i="1"/>
  <c r="GQ100" i="1"/>
  <c r="GR100" i="1"/>
  <c r="GS100" i="1"/>
  <c r="GT100" i="1"/>
  <c r="GU100" i="1"/>
  <c r="GV100" i="1"/>
  <c r="GW100" i="1"/>
  <c r="GK101" i="1"/>
  <c r="GL101" i="1"/>
  <c r="GM101" i="1"/>
  <c r="GN101" i="1"/>
  <c r="GO101" i="1"/>
  <c r="GP101" i="1"/>
  <c r="GQ101" i="1"/>
  <c r="GR101" i="1"/>
  <c r="GS101" i="1"/>
  <c r="GT101" i="1"/>
  <c r="GU101" i="1"/>
  <c r="GV101" i="1"/>
  <c r="GW101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K104" i="1"/>
  <c r="GL104" i="1"/>
  <c r="GM104" i="1"/>
  <c r="GN104" i="1"/>
  <c r="GO104" i="1"/>
  <c r="GP104" i="1"/>
  <c r="GQ104" i="1"/>
  <c r="GR104" i="1"/>
  <c r="GS104" i="1"/>
  <c r="GT104" i="1"/>
  <c r="GU104" i="1"/>
  <c r="GV104" i="1"/>
  <c r="GW104" i="1"/>
  <c r="GK105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K106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K107" i="1"/>
  <c r="GL107" i="1"/>
  <c r="GM107" i="1"/>
  <c r="GN107" i="1"/>
  <c r="GO107" i="1"/>
  <c r="GP107" i="1"/>
  <c r="GQ107" i="1"/>
  <c r="GR107" i="1"/>
  <c r="GS107" i="1"/>
  <c r="GT107" i="1"/>
  <c r="GU107" i="1"/>
  <c r="GV107" i="1"/>
  <c r="GW107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K109" i="1"/>
  <c r="GL109" i="1"/>
  <c r="GM109" i="1"/>
  <c r="GN109" i="1"/>
  <c r="GO109" i="1"/>
  <c r="GP109" i="1"/>
  <c r="GQ109" i="1"/>
  <c r="GR109" i="1"/>
  <c r="GS109" i="1"/>
  <c r="GT109" i="1"/>
  <c r="GU109" i="1"/>
  <c r="GV109" i="1"/>
  <c r="GW109" i="1"/>
  <c r="GK110" i="1"/>
  <c r="GL110" i="1"/>
  <c r="GM110" i="1"/>
  <c r="GN110" i="1"/>
  <c r="GO110" i="1"/>
  <c r="GP110" i="1"/>
  <c r="GQ110" i="1"/>
  <c r="GR110" i="1"/>
  <c r="GS110" i="1"/>
  <c r="GT110" i="1"/>
  <c r="GU110" i="1"/>
  <c r="GV110" i="1"/>
  <c r="GW110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K113" i="1"/>
  <c r="GL113" i="1"/>
  <c r="GM113" i="1"/>
  <c r="GN113" i="1"/>
  <c r="GO113" i="1"/>
  <c r="GP113" i="1"/>
  <c r="GQ113" i="1"/>
  <c r="GR113" i="1"/>
  <c r="GS113" i="1"/>
  <c r="GT113" i="1"/>
  <c r="GU113" i="1"/>
  <c r="GV113" i="1"/>
  <c r="GW113" i="1"/>
  <c r="GK114" i="1"/>
  <c r="GL114" i="1"/>
  <c r="GM114" i="1"/>
  <c r="GN114" i="1"/>
  <c r="GO114" i="1"/>
  <c r="GP114" i="1"/>
  <c r="GQ114" i="1"/>
  <c r="GR114" i="1"/>
  <c r="GS114" i="1"/>
  <c r="GT114" i="1"/>
  <c r="GU114" i="1"/>
  <c r="GV114" i="1"/>
  <c r="GW114" i="1"/>
  <c r="EU9" i="1"/>
  <c r="EU10" i="1"/>
  <c r="EU11" i="1"/>
  <c r="EU12" i="1"/>
  <c r="EU13" i="1"/>
  <c r="EU14" i="1"/>
  <c r="EU15" i="1"/>
  <c r="EU16" i="1"/>
  <c r="EU17" i="1"/>
  <c r="EU18" i="1"/>
  <c r="EU19" i="1"/>
  <c r="EU20" i="1"/>
  <c r="EU21" i="1"/>
  <c r="EU22" i="1"/>
  <c r="EU23" i="1"/>
  <c r="EU24" i="1"/>
  <c r="EU25" i="1"/>
  <c r="EU26" i="1"/>
  <c r="EU27" i="1"/>
  <c r="EU28" i="1"/>
  <c r="EU29" i="1"/>
  <c r="EU30" i="1"/>
  <c r="EU8" i="1"/>
  <c r="DZ8" i="1"/>
  <c r="ED8" i="1"/>
  <c r="DZ9" i="1"/>
  <c r="ED9" i="1"/>
  <c r="DZ10" i="1"/>
  <c r="ED10" i="1"/>
  <c r="DZ11" i="1"/>
  <c r="ED11" i="1"/>
  <c r="DZ12" i="1"/>
  <c r="ED12" i="1"/>
  <c r="DZ13" i="1"/>
  <c r="ED13" i="1"/>
  <c r="DZ14" i="1"/>
  <c r="ED14" i="1"/>
  <c r="DZ15" i="1"/>
  <c r="ED15" i="1"/>
  <c r="DZ16" i="1"/>
  <c r="ED16" i="1"/>
  <c r="DZ17" i="1"/>
  <c r="ED17" i="1"/>
  <c r="DZ18" i="1"/>
  <c r="ED18" i="1"/>
  <c r="DZ19" i="1"/>
  <c r="ED19" i="1"/>
  <c r="DZ20" i="1"/>
  <c r="ED20" i="1"/>
  <c r="DZ21" i="1"/>
  <c r="ED21" i="1"/>
  <c r="DZ22" i="1"/>
  <c r="ED22" i="1"/>
  <c r="DZ23" i="1"/>
  <c r="ED23" i="1"/>
  <c r="DZ24" i="1"/>
  <c r="ED24" i="1"/>
  <c r="DZ25" i="1"/>
  <c r="ED25" i="1"/>
  <c r="DZ26" i="1"/>
  <c r="ED26" i="1"/>
  <c r="DZ27" i="1"/>
  <c r="ED27" i="1"/>
  <c r="DZ28" i="1"/>
  <c r="ED28" i="1"/>
  <c r="DZ29" i="1"/>
  <c r="ED29" i="1"/>
  <c r="DZ30" i="1"/>
  <c r="ED30" i="1"/>
  <c r="DR8" i="1"/>
  <c r="DS8" i="1"/>
  <c r="DT8" i="1"/>
  <c r="DU8" i="1"/>
  <c r="DV8" i="1"/>
  <c r="DW8" i="1"/>
  <c r="DX8" i="1"/>
  <c r="DY8" i="1"/>
  <c r="DR9" i="1"/>
  <c r="DS9" i="1"/>
  <c r="DT9" i="1"/>
  <c r="DU9" i="1"/>
  <c r="DV9" i="1"/>
  <c r="DW9" i="1"/>
  <c r="DX9" i="1"/>
  <c r="DY9" i="1"/>
  <c r="DR10" i="1"/>
  <c r="DS10" i="1"/>
  <c r="DT10" i="1"/>
  <c r="DU10" i="1"/>
  <c r="DV10" i="1"/>
  <c r="DW10" i="1"/>
  <c r="DX10" i="1"/>
  <c r="DY10" i="1"/>
  <c r="DR11" i="1"/>
  <c r="DS11" i="1"/>
  <c r="DT11" i="1"/>
  <c r="DU11" i="1"/>
  <c r="DV11" i="1"/>
  <c r="DW11" i="1"/>
  <c r="DX11" i="1"/>
  <c r="DY11" i="1"/>
  <c r="DR12" i="1"/>
  <c r="DS12" i="1"/>
  <c r="DT12" i="1"/>
  <c r="DU12" i="1"/>
  <c r="DV12" i="1"/>
  <c r="DW12" i="1"/>
  <c r="DX12" i="1"/>
  <c r="DY12" i="1"/>
  <c r="DR13" i="1"/>
  <c r="DS13" i="1"/>
  <c r="DT13" i="1"/>
  <c r="DU13" i="1"/>
  <c r="DV13" i="1"/>
  <c r="DW13" i="1"/>
  <c r="DX13" i="1"/>
  <c r="DY13" i="1"/>
  <c r="DR14" i="1"/>
  <c r="DS14" i="1"/>
  <c r="DT14" i="1"/>
  <c r="DU14" i="1"/>
  <c r="DV14" i="1"/>
  <c r="DW14" i="1"/>
  <c r="DX14" i="1"/>
  <c r="DY14" i="1"/>
  <c r="DR15" i="1"/>
  <c r="DS15" i="1"/>
  <c r="DT15" i="1"/>
  <c r="DU15" i="1"/>
  <c r="DV15" i="1"/>
  <c r="DW15" i="1"/>
  <c r="DX15" i="1"/>
  <c r="DY15" i="1"/>
  <c r="DR16" i="1"/>
  <c r="DS16" i="1"/>
  <c r="DT16" i="1"/>
  <c r="DU16" i="1"/>
  <c r="DV16" i="1"/>
  <c r="DW16" i="1"/>
  <c r="DX16" i="1"/>
  <c r="DY16" i="1"/>
  <c r="DR17" i="1"/>
  <c r="DS17" i="1"/>
  <c r="DT17" i="1"/>
  <c r="DU17" i="1"/>
  <c r="DV17" i="1"/>
  <c r="DW17" i="1"/>
  <c r="DX17" i="1"/>
  <c r="DY17" i="1"/>
  <c r="DR18" i="1"/>
  <c r="DS18" i="1"/>
  <c r="DT18" i="1"/>
  <c r="DU18" i="1"/>
  <c r="DV18" i="1"/>
  <c r="DW18" i="1"/>
  <c r="DX18" i="1"/>
  <c r="DY18" i="1"/>
  <c r="DR19" i="1"/>
  <c r="DS19" i="1"/>
  <c r="DT19" i="1"/>
  <c r="DU19" i="1"/>
  <c r="DV19" i="1"/>
  <c r="DW19" i="1"/>
  <c r="DX19" i="1"/>
  <c r="DY19" i="1"/>
  <c r="DR20" i="1"/>
  <c r="DS20" i="1"/>
  <c r="DT20" i="1"/>
  <c r="DU20" i="1"/>
  <c r="DV20" i="1"/>
  <c r="DW20" i="1"/>
  <c r="DX20" i="1"/>
  <c r="DY20" i="1"/>
  <c r="DR21" i="1"/>
  <c r="DS21" i="1"/>
  <c r="DT21" i="1"/>
  <c r="DU21" i="1"/>
  <c r="DV21" i="1"/>
  <c r="DW21" i="1"/>
  <c r="DX21" i="1"/>
  <c r="DY21" i="1"/>
  <c r="DR22" i="1"/>
  <c r="DS22" i="1"/>
  <c r="DT22" i="1"/>
  <c r="DU22" i="1"/>
  <c r="DV22" i="1"/>
  <c r="DW22" i="1"/>
  <c r="DX22" i="1"/>
  <c r="DY22" i="1"/>
  <c r="DR23" i="1"/>
  <c r="DS23" i="1"/>
  <c r="DT23" i="1"/>
  <c r="DU23" i="1"/>
  <c r="DV23" i="1"/>
  <c r="DW23" i="1"/>
  <c r="DX23" i="1"/>
  <c r="DY23" i="1"/>
  <c r="DR24" i="1"/>
  <c r="DS24" i="1"/>
  <c r="DT24" i="1"/>
  <c r="DU24" i="1"/>
  <c r="DV24" i="1"/>
  <c r="DW24" i="1"/>
  <c r="DX24" i="1"/>
  <c r="DY24" i="1"/>
  <c r="DR25" i="1"/>
  <c r="DS25" i="1"/>
  <c r="DT25" i="1"/>
  <c r="DU25" i="1"/>
  <c r="DV25" i="1"/>
  <c r="DW25" i="1"/>
  <c r="DX25" i="1"/>
  <c r="DY25" i="1"/>
  <c r="DR26" i="1"/>
  <c r="DS26" i="1"/>
  <c r="DT26" i="1"/>
  <c r="DU26" i="1"/>
  <c r="DV26" i="1"/>
  <c r="DW26" i="1"/>
  <c r="DX26" i="1"/>
  <c r="DY26" i="1"/>
  <c r="DR27" i="1"/>
  <c r="DS27" i="1"/>
  <c r="DT27" i="1"/>
  <c r="DU27" i="1"/>
  <c r="DV27" i="1"/>
  <c r="DW27" i="1"/>
  <c r="DX27" i="1"/>
  <c r="DY27" i="1"/>
  <c r="DR28" i="1"/>
  <c r="DS28" i="1"/>
  <c r="DT28" i="1"/>
  <c r="DU28" i="1"/>
  <c r="DV28" i="1"/>
  <c r="DW28" i="1"/>
  <c r="DX28" i="1"/>
  <c r="DY28" i="1"/>
  <c r="DR29" i="1"/>
  <c r="DS29" i="1"/>
  <c r="DT29" i="1"/>
  <c r="DU29" i="1"/>
  <c r="DV29" i="1"/>
  <c r="DW29" i="1"/>
  <c r="DX29" i="1"/>
  <c r="DY29" i="1"/>
  <c r="DR30" i="1"/>
  <c r="DS30" i="1"/>
  <c r="DT30" i="1"/>
  <c r="DU30" i="1"/>
  <c r="DV30" i="1"/>
  <c r="DW30" i="1"/>
  <c r="DX30" i="1"/>
  <c r="DY30" i="1"/>
  <c r="U7" i="1"/>
  <c r="V7" i="1" s="1"/>
  <c r="AE7" i="1" s="1"/>
  <c r="W7" i="1"/>
  <c r="Y7" i="1" s="1"/>
  <c r="AC7" i="1" s="1"/>
  <c r="X7" i="1"/>
  <c r="AD7" i="1" s="1"/>
  <c r="Z7" i="1"/>
  <c r="AF7" i="1" s="1"/>
  <c r="AA7" i="1"/>
  <c r="AH7" i="1" s="1"/>
  <c r="AB7" i="1"/>
  <c r="AG7" i="1"/>
  <c r="U8" i="1"/>
  <c r="V8" i="1" s="1"/>
  <c r="AE8" i="1" s="1"/>
  <c r="W8" i="1"/>
  <c r="Y8" i="1" s="1"/>
  <c r="AC8" i="1" s="1"/>
  <c r="X8" i="1"/>
  <c r="AD8" i="1" s="1"/>
  <c r="Z8" i="1"/>
  <c r="AF8" i="1" s="1"/>
  <c r="AA8" i="1"/>
  <c r="AH8" i="1" s="1"/>
  <c r="AB8" i="1"/>
  <c r="AG8" i="1"/>
  <c r="U9" i="1"/>
  <c r="V9" i="1" s="1"/>
  <c r="AE9" i="1" s="1"/>
  <c r="W9" i="1"/>
  <c r="Y9" i="1" s="1"/>
  <c r="AC9" i="1" s="1"/>
  <c r="X9" i="1"/>
  <c r="AD9" i="1" s="1"/>
  <c r="Z9" i="1"/>
  <c r="AF9" i="1" s="1"/>
  <c r="AA9" i="1"/>
  <c r="AB9" i="1"/>
  <c r="AG9" i="1"/>
  <c r="AH9" i="1"/>
  <c r="U10" i="1"/>
  <c r="V10" i="1" s="1"/>
  <c r="AE10" i="1" s="1"/>
  <c r="W10" i="1"/>
  <c r="Y10" i="1" s="1"/>
  <c r="AC10" i="1" s="1"/>
  <c r="X10" i="1"/>
  <c r="AD10" i="1" s="1"/>
  <c r="Z10" i="1"/>
  <c r="AF10" i="1" s="1"/>
  <c r="AA10" i="1"/>
  <c r="AH10" i="1" s="1"/>
  <c r="AB10" i="1"/>
  <c r="AG10" i="1"/>
  <c r="U11" i="1"/>
  <c r="V11" i="1" s="1"/>
  <c r="AE11" i="1" s="1"/>
  <c r="W11" i="1"/>
  <c r="Y11" i="1" s="1"/>
  <c r="AC11" i="1" s="1"/>
  <c r="X11" i="1"/>
  <c r="AD11" i="1" s="1"/>
  <c r="Z11" i="1"/>
  <c r="AF11" i="1" s="1"/>
  <c r="AA11" i="1"/>
  <c r="AH11" i="1" s="1"/>
  <c r="AB11" i="1"/>
  <c r="AG11" i="1"/>
  <c r="U12" i="1"/>
  <c r="V12" i="1" s="1"/>
  <c r="AE12" i="1" s="1"/>
  <c r="W12" i="1"/>
  <c r="Y12" i="1" s="1"/>
  <c r="AC12" i="1" s="1"/>
  <c r="X12" i="1"/>
  <c r="AD12" i="1" s="1"/>
  <c r="Z12" i="1"/>
  <c r="AF12" i="1" s="1"/>
  <c r="AA12" i="1"/>
  <c r="AH12" i="1" s="1"/>
  <c r="AB12" i="1"/>
  <c r="AG12" i="1"/>
  <c r="U13" i="1"/>
  <c r="V13" i="1" s="1"/>
  <c r="AE13" i="1" s="1"/>
  <c r="W13" i="1"/>
  <c r="Y13" i="1" s="1"/>
  <c r="AC13" i="1" s="1"/>
  <c r="X13" i="1"/>
  <c r="AD13" i="1" s="1"/>
  <c r="Z13" i="1"/>
  <c r="AF13" i="1" s="1"/>
  <c r="AA13" i="1"/>
  <c r="AH13" i="1" s="1"/>
  <c r="AB13" i="1"/>
  <c r="AG13" i="1"/>
  <c r="U14" i="1"/>
  <c r="V14" i="1" s="1"/>
  <c r="AE14" i="1" s="1"/>
  <c r="W14" i="1"/>
  <c r="Y14" i="1" s="1"/>
  <c r="AC14" i="1" s="1"/>
  <c r="X14" i="1"/>
  <c r="AD14" i="1" s="1"/>
  <c r="Z14" i="1"/>
  <c r="AF14" i="1" s="1"/>
  <c r="AA14" i="1"/>
  <c r="AH14" i="1" s="1"/>
  <c r="AB14" i="1"/>
  <c r="AG14" i="1"/>
  <c r="U15" i="1"/>
  <c r="V15" i="1" s="1"/>
  <c r="AE15" i="1" s="1"/>
  <c r="W15" i="1"/>
  <c r="Y15" i="1" s="1"/>
  <c r="AC15" i="1" s="1"/>
  <c r="X15" i="1"/>
  <c r="AD15" i="1" s="1"/>
  <c r="Z15" i="1"/>
  <c r="AF15" i="1" s="1"/>
  <c r="AA15" i="1"/>
  <c r="AB15" i="1"/>
  <c r="AG15" i="1"/>
  <c r="AH15" i="1"/>
  <c r="U16" i="1"/>
  <c r="V16" i="1" s="1"/>
  <c r="AE16" i="1" s="1"/>
  <c r="W16" i="1"/>
  <c r="Y16" i="1" s="1"/>
  <c r="AC16" i="1" s="1"/>
  <c r="X16" i="1"/>
  <c r="AD16" i="1" s="1"/>
  <c r="Z16" i="1"/>
  <c r="AF16" i="1" s="1"/>
  <c r="AA16" i="1"/>
  <c r="AH16" i="1" s="1"/>
  <c r="AB16" i="1"/>
  <c r="AG16" i="1"/>
  <c r="U17" i="1"/>
  <c r="V17" i="1" s="1"/>
  <c r="AE17" i="1" s="1"/>
  <c r="W17" i="1"/>
  <c r="Y17" i="1" s="1"/>
  <c r="AC17" i="1" s="1"/>
  <c r="X17" i="1"/>
  <c r="AD17" i="1" s="1"/>
  <c r="Z17" i="1"/>
  <c r="AF17" i="1" s="1"/>
  <c r="AA17" i="1"/>
  <c r="AH17" i="1" s="1"/>
  <c r="AB17" i="1"/>
  <c r="AG17" i="1"/>
  <c r="U18" i="1"/>
  <c r="V18" i="1" s="1"/>
  <c r="AE18" i="1" s="1"/>
  <c r="W18" i="1"/>
  <c r="Y18" i="1" s="1"/>
  <c r="AC18" i="1" s="1"/>
  <c r="X18" i="1"/>
  <c r="AD18" i="1" s="1"/>
  <c r="Z18" i="1"/>
  <c r="AF18" i="1" s="1"/>
  <c r="AA18" i="1"/>
  <c r="AH18" i="1" s="1"/>
  <c r="AB18" i="1"/>
  <c r="AG18" i="1"/>
  <c r="U19" i="1"/>
  <c r="V19" i="1" s="1"/>
  <c r="AE19" i="1" s="1"/>
  <c r="W19" i="1"/>
  <c r="Y19" i="1" s="1"/>
  <c r="AC19" i="1" s="1"/>
  <c r="X19" i="1"/>
  <c r="AD19" i="1" s="1"/>
  <c r="Z19" i="1"/>
  <c r="AF19" i="1" s="1"/>
  <c r="AA19" i="1"/>
  <c r="AH19" i="1" s="1"/>
  <c r="AB19" i="1"/>
  <c r="AG19" i="1"/>
  <c r="U20" i="1"/>
  <c r="V20" i="1" s="1"/>
  <c r="AE20" i="1" s="1"/>
  <c r="W20" i="1"/>
  <c r="Y20" i="1" s="1"/>
  <c r="AC20" i="1" s="1"/>
  <c r="X20" i="1"/>
  <c r="AD20" i="1" s="1"/>
  <c r="Z20" i="1"/>
  <c r="AF20" i="1" s="1"/>
  <c r="AA20" i="1"/>
  <c r="AH20" i="1" s="1"/>
  <c r="AB20" i="1"/>
  <c r="AG20" i="1"/>
  <c r="U21" i="1"/>
  <c r="V21" i="1" s="1"/>
  <c r="AE21" i="1" s="1"/>
  <c r="W21" i="1"/>
  <c r="Y21" i="1" s="1"/>
  <c r="AC21" i="1" s="1"/>
  <c r="X21" i="1"/>
  <c r="AD21" i="1" s="1"/>
  <c r="Z21" i="1"/>
  <c r="AF21" i="1" s="1"/>
  <c r="AA21" i="1"/>
  <c r="AH21" i="1" s="1"/>
  <c r="AB21" i="1"/>
  <c r="AG21" i="1"/>
  <c r="U22" i="1"/>
  <c r="V22" i="1" s="1"/>
  <c r="AE22" i="1" s="1"/>
  <c r="W22" i="1"/>
  <c r="Y22" i="1" s="1"/>
  <c r="AC22" i="1" s="1"/>
  <c r="X22" i="1"/>
  <c r="AD22" i="1" s="1"/>
  <c r="Z22" i="1"/>
  <c r="AF22" i="1" s="1"/>
  <c r="AA22" i="1"/>
  <c r="AH22" i="1" s="1"/>
  <c r="AB22" i="1"/>
  <c r="AG22" i="1"/>
  <c r="U23" i="1"/>
  <c r="V23" i="1" s="1"/>
  <c r="AE23" i="1" s="1"/>
  <c r="W23" i="1"/>
  <c r="Y23" i="1" s="1"/>
  <c r="AC23" i="1" s="1"/>
  <c r="X23" i="1"/>
  <c r="AD23" i="1" s="1"/>
  <c r="Z23" i="1"/>
  <c r="AF23" i="1" s="1"/>
  <c r="AA23" i="1"/>
  <c r="AH23" i="1" s="1"/>
  <c r="AB23" i="1"/>
  <c r="AG23" i="1"/>
  <c r="U24" i="1"/>
  <c r="V24" i="1" s="1"/>
  <c r="AE24" i="1" s="1"/>
  <c r="W24" i="1"/>
  <c r="Y24" i="1" s="1"/>
  <c r="AC24" i="1" s="1"/>
  <c r="X24" i="1"/>
  <c r="AD24" i="1" s="1"/>
  <c r="Z24" i="1"/>
  <c r="AF24" i="1" s="1"/>
  <c r="AA24" i="1"/>
  <c r="AH24" i="1" s="1"/>
  <c r="AB24" i="1"/>
  <c r="AG24" i="1"/>
  <c r="U25" i="1"/>
  <c r="V25" i="1" s="1"/>
  <c r="AE25" i="1" s="1"/>
  <c r="W25" i="1"/>
  <c r="Y25" i="1" s="1"/>
  <c r="AC25" i="1" s="1"/>
  <c r="X25" i="1"/>
  <c r="AD25" i="1" s="1"/>
  <c r="Z25" i="1"/>
  <c r="AF25" i="1" s="1"/>
  <c r="AA25" i="1"/>
  <c r="AH25" i="1" s="1"/>
  <c r="AB25" i="1"/>
  <c r="AG25" i="1"/>
  <c r="U26" i="1"/>
  <c r="V26" i="1" s="1"/>
  <c r="AE26" i="1" s="1"/>
  <c r="W26" i="1"/>
  <c r="Y26" i="1" s="1"/>
  <c r="AC26" i="1" s="1"/>
  <c r="X26" i="1"/>
  <c r="AD26" i="1" s="1"/>
  <c r="Z26" i="1"/>
  <c r="AF26" i="1" s="1"/>
  <c r="AA26" i="1"/>
  <c r="AH26" i="1" s="1"/>
  <c r="AB26" i="1"/>
  <c r="AG26" i="1"/>
  <c r="U27" i="1"/>
  <c r="V27" i="1" s="1"/>
  <c r="AE27" i="1" s="1"/>
  <c r="W27" i="1"/>
  <c r="Y27" i="1" s="1"/>
  <c r="AC27" i="1" s="1"/>
  <c r="X27" i="1"/>
  <c r="AD27" i="1" s="1"/>
  <c r="Z27" i="1"/>
  <c r="AF27" i="1" s="1"/>
  <c r="AA27" i="1"/>
  <c r="AH27" i="1" s="1"/>
  <c r="AB27" i="1"/>
  <c r="AG27" i="1"/>
  <c r="U28" i="1"/>
  <c r="V28" i="1" s="1"/>
  <c r="AE28" i="1" s="1"/>
  <c r="W28" i="1"/>
  <c r="Y28" i="1" s="1"/>
  <c r="AC28" i="1" s="1"/>
  <c r="X28" i="1"/>
  <c r="AD28" i="1" s="1"/>
  <c r="Z28" i="1"/>
  <c r="AF28" i="1" s="1"/>
  <c r="AA28" i="1"/>
  <c r="AH28" i="1" s="1"/>
  <c r="AB28" i="1"/>
  <c r="AG28" i="1"/>
  <c r="U29" i="1"/>
  <c r="V29" i="1" s="1"/>
  <c r="AE29" i="1" s="1"/>
  <c r="W29" i="1"/>
  <c r="Y29" i="1" s="1"/>
  <c r="AC29" i="1" s="1"/>
  <c r="X29" i="1"/>
  <c r="AD29" i="1" s="1"/>
  <c r="Z29" i="1"/>
  <c r="AF29" i="1" s="1"/>
  <c r="AA29" i="1"/>
  <c r="AH29" i="1" s="1"/>
  <c r="AB29" i="1"/>
  <c r="AG29" i="1"/>
  <c r="U30" i="1"/>
  <c r="V30" i="1" s="1"/>
  <c r="AE30" i="1" s="1"/>
  <c r="W30" i="1"/>
  <c r="Y30" i="1" s="1"/>
  <c r="AC30" i="1" s="1"/>
  <c r="X30" i="1"/>
  <c r="AD30" i="1" s="1"/>
  <c r="Z30" i="1"/>
  <c r="AF30" i="1" s="1"/>
  <c r="AA30" i="1"/>
  <c r="AH30" i="1" s="1"/>
  <c r="AB30" i="1"/>
  <c r="AG30" i="1"/>
  <c r="EC23" i="1" l="1"/>
  <c r="EA29" i="1"/>
  <c r="GX102" i="1"/>
  <c r="GZ29" i="1"/>
  <c r="GZ15" i="1"/>
  <c r="GY60" i="1"/>
  <c r="GY46" i="1"/>
  <c r="EB18" i="1"/>
  <c r="EB11" i="1"/>
  <c r="EA27" i="1"/>
  <c r="EB23" i="1"/>
  <c r="GX8" i="1"/>
  <c r="EB26" i="1"/>
  <c r="EB9" i="1"/>
  <c r="GX44" i="1"/>
  <c r="GY76" i="1"/>
  <c r="GY62" i="1"/>
  <c r="GY51" i="1"/>
  <c r="GX45" i="1"/>
  <c r="GY20" i="1"/>
  <c r="AI29" i="1"/>
  <c r="EB28" i="1"/>
  <c r="EB21" i="1"/>
  <c r="EB14" i="1"/>
  <c r="GZ75" i="1"/>
  <c r="GX46" i="1"/>
  <c r="AI27" i="1"/>
  <c r="AI22" i="1"/>
  <c r="AI14" i="1"/>
  <c r="EC30" i="1"/>
  <c r="EA28" i="1"/>
  <c r="EA23" i="1"/>
  <c r="EC16" i="1"/>
  <c r="EC14" i="1"/>
  <c r="EA9" i="1"/>
  <c r="GY78" i="1"/>
  <c r="GY67" i="1"/>
  <c r="GX47" i="1"/>
  <c r="GY36" i="1"/>
  <c r="GY22" i="1"/>
  <c r="GX19" i="1"/>
  <c r="EA11" i="1"/>
  <c r="AI12" i="1"/>
  <c r="GZ82" i="1"/>
  <c r="GZ77" i="1"/>
  <c r="GY68" i="1"/>
  <c r="GX48" i="1"/>
  <c r="GY12" i="1"/>
  <c r="EA13" i="1"/>
  <c r="GY69" i="1"/>
  <c r="GY66" i="1"/>
  <c r="GY52" i="1"/>
  <c r="GY38" i="1"/>
  <c r="AI9" i="1"/>
  <c r="EA18" i="1"/>
  <c r="EB12" i="1"/>
  <c r="GX36" i="1"/>
  <c r="GY28" i="1"/>
  <c r="GY14" i="1"/>
  <c r="EB16" i="1"/>
  <c r="AI7" i="1"/>
  <c r="EB19" i="1"/>
  <c r="EC19" i="1"/>
  <c r="GZ107" i="1"/>
  <c r="GX97" i="1"/>
  <c r="GY84" i="1"/>
  <c r="EB29" i="1"/>
  <c r="EB22" i="1"/>
  <c r="EB15" i="1"/>
  <c r="EB8" i="1"/>
  <c r="GZ85" i="1"/>
  <c r="GZ67" i="1"/>
  <c r="GZ55" i="1"/>
  <c r="GX38" i="1"/>
  <c r="GY30" i="1"/>
  <c r="AI23" i="1"/>
  <c r="AI25" i="1"/>
  <c r="EA21" i="1"/>
  <c r="EA14" i="1"/>
  <c r="EB24" i="1"/>
  <c r="GZ83" i="1"/>
  <c r="GZ79" i="1"/>
  <c r="GY70" i="1"/>
  <c r="GY110" i="1"/>
  <c r="GY96" i="1"/>
  <c r="GX37" i="1"/>
  <c r="GY29" i="1"/>
  <c r="EA24" i="1"/>
  <c r="EA17" i="1"/>
  <c r="EA10" i="1"/>
  <c r="GY86" i="1"/>
  <c r="GX39" i="1"/>
  <c r="GY31" i="1"/>
  <c r="GX11" i="1"/>
  <c r="EB30" i="1"/>
  <c r="GY50" i="1"/>
  <c r="GZ31" i="1"/>
  <c r="EA25" i="1"/>
  <c r="AI17" i="1"/>
  <c r="GX111" i="1"/>
  <c r="GY71" i="1"/>
  <c r="EB27" i="1"/>
  <c r="EB20" i="1"/>
  <c r="EB13" i="1"/>
  <c r="GX82" i="1"/>
  <c r="GZ69" i="1"/>
  <c r="GX40" i="1"/>
  <c r="GZ33" i="1"/>
  <c r="GY32" i="1"/>
  <c r="GZ13" i="1"/>
  <c r="AI24" i="1"/>
  <c r="EC18" i="1"/>
  <c r="GZ74" i="1"/>
  <c r="AI20" i="1"/>
  <c r="EB17" i="1"/>
  <c r="EB10" i="1"/>
  <c r="GX93" i="1"/>
  <c r="GZ66" i="1"/>
  <c r="GZ53" i="1"/>
  <c r="EC26" i="1"/>
  <c r="EC20" i="1"/>
  <c r="EA12" i="1"/>
  <c r="GY82" i="1"/>
  <c r="GZ72" i="1"/>
  <c r="GY54" i="1"/>
  <c r="EC29" i="1"/>
  <c r="EC27" i="1"/>
  <c r="EB25" i="1"/>
  <c r="EA22" i="1"/>
  <c r="EA20" i="1"/>
  <c r="EA15" i="1"/>
  <c r="EC13" i="1"/>
  <c r="EA8" i="1"/>
  <c r="GX101" i="1"/>
  <c r="GY74" i="1"/>
  <c r="GY44" i="1"/>
  <c r="AI21" i="1"/>
  <c r="AI11" i="1"/>
  <c r="AI16" i="1"/>
  <c r="AI19" i="1"/>
  <c r="AI10" i="1"/>
  <c r="AI15" i="1"/>
  <c r="AI30" i="1"/>
  <c r="AI18" i="1"/>
  <c r="AI28" i="1"/>
  <c r="AI13" i="1"/>
  <c r="AI8" i="1"/>
  <c r="AI26" i="1"/>
  <c r="GX110" i="1"/>
  <c r="GY109" i="1"/>
  <c r="GZ106" i="1"/>
  <c r="GX96" i="1"/>
  <c r="GY95" i="1"/>
  <c r="GZ70" i="1"/>
  <c r="GZ68" i="1"/>
  <c r="GY65" i="1"/>
  <c r="GY64" i="1"/>
  <c r="GY63" i="1"/>
  <c r="GY61" i="1"/>
  <c r="GY59" i="1"/>
  <c r="GY58" i="1"/>
  <c r="GX43" i="1"/>
  <c r="GZ30" i="1"/>
  <c r="GZ28" i="1"/>
  <c r="GY27" i="1"/>
  <c r="GX18" i="1"/>
  <c r="EA26" i="1"/>
  <c r="EA19" i="1"/>
  <c r="EA30" i="1"/>
  <c r="EC24" i="1"/>
  <c r="EA16" i="1"/>
  <c r="EC10" i="1"/>
  <c r="GX112" i="1"/>
  <c r="GY111" i="1"/>
  <c r="GZ108" i="1"/>
  <c r="GX98" i="1"/>
  <c r="GY97" i="1"/>
  <c r="GZ94" i="1"/>
  <c r="GZ93" i="1"/>
  <c r="GZ78" i="1"/>
  <c r="GZ76" i="1"/>
  <c r="GY73" i="1"/>
  <c r="GY72" i="1"/>
  <c r="GX49" i="1"/>
  <c r="GZ47" i="1"/>
  <c r="GZ45" i="1"/>
  <c r="GZ34" i="1"/>
  <c r="GY33" i="1"/>
  <c r="GX23" i="1"/>
  <c r="GX22" i="1"/>
  <c r="GX21" i="1"/>
  <c r="GX20" i="1"/>
  <c r="GZ9" i="1"/>
  <c r="GY8" i="1"/>
  <c r="GX113" i="1"/>
  <c r="GY112" i="1"/>
  <c r="GZ109" i="1"/>
  <c r="GX99" i="1"/>
  <c r="GY98" i="1"/>
  <c r="GZ95" i="1"/>
  <c r="GZ86" i="1"/>
  <c r="GZ84" i="1"/>
  <c r="GY81" i="1"/>
  <c r="GZ80" i="1"/>
  <c r="GY79" i="1"/>
  <c r="GY77" i="1"/>
  <c r="GY75" i="1"/>
  <c r="GX51" i="1"/>
  <c r="GX50" i="1"/>
  <c r="GZ35" i="1"/>
  <c r="GY34" i="1"/>
  <c r="GX24" i="1"/>
  <c r="GZ21" i="1"/>
  <c r="GZ10" i="1"/>
  <c r="GY9" i="1"/>
  <c r="EC21" i="1"/>
  <c r="EC15" i="1"/>
  <c r="GX114" i="1"/>
  <c r="GY113" i="1"/>
  <c r="GZ110" i="1"/>
  <c r="GX100" i="1"/>
  <c r="GY99" i="1"/>
  <c r="GZ96" i="1"/>
  <c r="GZ88" i="1"/>
  <c r="GZ87" i="1"/>
  <c r="GY85" i="1"/>
  <c r="GY83" i="1"/>
  <c r="GX56" i="1"/>
  <c r="GX55" i="1"/>
  <c r="GX54" i="1"/>
  <c r="GX53" i="1"/>
  <c r="GX52" i="1"/>
  <c r="GZ50" i="1"/>
  <c r="GZ38" i="1"/>
  <c r="GZ36" i="1"/>
  <c r="GY35" i="1"/>
  <c r="GX25" i="1"/>
  <c r="GZ11" i="1"/>
  <c r="GY10" i="1"/>
  <c r="EC12" i="1"/>
  <c r="GY114" i="1"/>
  <c r="GZ111" i="1"/>
  <c r="GY100" i="1"/>
  <c r="GZ97" i="1"/>
  <c r="GY89" i="1"/>
  <c r="GX57" i="1"/>
  <c r="GZ41" i="1"/>
  <c r="GY40" i="1"/>
  <c r="GY39" i="1"/>
  <c r="GY37" i="1"/>
  <c r="GX26" i="1"/>
  <c r="GZ14" i="1"/>
  <c r="GZ12" i="1"/>
  <c r="GY11" i="1"/>
  <c r="EC9" i="1"/>
  <c r="GZ112" i="1"/>
  <c r="GY101" i="1"/>
  <c r="GZ98" i="1"/>
  <c r="GX64" i="1"/>
  <c r="GX63" i="1"/>
  <c r="GX62" i="1"/>
  <c r="GX61" i="1"/>
  <c r="GX60" i="1"/>
  <c r="GX59" i="1"/>
  <c r="GX58" i="1"/>
  <c r="GZ42" i="1"/>
  <c r="GY41" i="1"/>
  <c r="GX27" i="1"/>
  <c r="GZ17" i="1"/>
  <c r="GZ16" i="1"/>
  <c r="GY15" i="1"/>
  <c r="GY13" i="1"/>
  <c r="GZ113" i="1"/>
  <c r="GX103" i="1"/>
  <c r="GY102" i="1"/>
  <c r="GZ99" i="1"/>
  <c r="GX71" i="1"/>
  <c r="GX70" i="1"/>
  <c r="GX69" i="1"/>
  <c r="GX68" i="1"/>
  <c r="GX67" i="1"/>
  <c r="GX65" i="1"/>
  <c r="GZ63" i="1"/>
  <c r="GZ61" i="1"/>
  <c r="GZ59" i="1"/>
  <c r="GZ58" i="1"/>
  <c r="GZ43" i="1"/>
  <c r="GY42" i="1"/>
  <c r="GX32" i="1"/>
  <c r="GX31" i="1"/>
  <c r="GX30" i="1"/>
  <c r="GX29" i="1"/>
  <c r="GX28" i="1"/>
  <c r="GZ18" i="1"/>
  <c r="GY17" i="1"/>
  <c r="EC17" i="1"/>
  <c r="GZ114" i="1"/>
  <c r="GX104" i="1"/>
  <c r="GY103" i="1"/>
  <c r="GZ100" i="1"/>
  <c r="GY88" i="1"/>
  <c r="GX72" i="1"/>
  <c r="GX66" i="1"/>
  <c r="GZ46" i="1"/>
  <c r="GZ44" i="1"/>
  <c r="GY43" i="1"/>
  <c r="GX33" i="1"/>
  <c r="GZ19" i="1"/>
  <c r="GY18" i="1"/>
  <c r="GX105" i="1"/>
  <c r="GY104" i="1"/>
  <c r="GZ101" i="1"/>
  <c r="GX80" i="1"/>
  <c r="GX79" i="1"/>
  <c r="GX78" i="1"/>
  <c r="GX77" i="1"/>
  <c r="GX76" i="1"/>
  <c r="GX75" i="1"/>
  <c r="GX73" i="1"/>
  <c r="GZ49" i="1"/>
  <c r="GY48" i="1"/>
  <c r="GY47" i="1"/>
  <c r="GY45" i="1"/>
  <c r="GX34" i="1"/>
  <c r="GZ22" i="1"/>
  <c r="GZ20" i="1"/>
  <c r="GY19" i="1"/>
  <c r="GX9" i="1"/>
  <c r="EC28" i="1"/>
  <c r="EC25" i="1"/>
  <c r="EC11" i="1"/>
  <c r="GX106" i="1"/>
  <c r="GY105" i="1"/>
  <c r="GZ102" i="1"/>
  <c r="GY90" i="1"/>
  <c r="GX87" i="1"/>
  <c r="GX86" i="1"/>
  <c r="GX85" i="1"/>
  <c r="GX84" i="1"/>
  <c r="GX83" i="1"/>
  <c r="GX81" i="1"/>
  <c r="GX74" i="1"/>
  <c r="GZ51" i="1"/>
  <c r="GY49" i="1"/>
  <c r="GX35" i="1"/>
  <c r="GY23" i="1"/>
  <c r="GY21" i="1"/>
  <c r="GX10" i="1"/>
  <c r="EC8" i="1"/>
  <c r="GX107" i="1"/>
  <c r="GY106" i="1"/>
  <c r="GZ103" i="1"/>
  <c r="GY91" i="1"/>
  <c r="GZ54" i="1"/>
  <c r="GZ52" i="1"/>
  <c r="GZ25" i="1"/>
  <c r="GZ24" i="1"/>
  <c r="EC22" i="1"/>
  <c r="GX108" i="1"/>
  <c r="GY107" i="1"/>
  <c r="GZ104" i="1"/>
  <c r="GX94" i="1"/>
  <c r="GY92" i="1"/>
  <c r="GX89" i="1"/>
  <c r="GY57" i="1"/>
  <c r="GZ56" i="1"/>
  <c r="GY55" i="1"/>
  <c r="GY53" i="1"/>
  <c r="GX41" i="1"/>
  <c r="GZ39" i="1"/>
  <c r="GZ37" i="1"/>
  <c r="GZ26" i="1"/>
  <c r="GY25" i="1"/>
  <c r="GX16" i="1"/>
  <c r="GX15" i="1"/>
  <c r="GX14" i="1"/>
  <c r="GX13" i="1"/>
  <c r="GX12" i="1"/>
  <c r="GX109" i="1"/>
  <c r="GY108" i="1"/>
  <c r="GZ105" i="1"/>
  <c r="GX95" i="1"/>
  <c r="GY94" i="1"/>
  <c r="GY93" i="1"/>
  <c r="GZ92" i="1"/>
  <c r="GZ91" i="1"/>
  <c r="GZ64" i="1"/>
  <c r="GZ62" i="1"/>
  <c r="GZ60" i="1"/>
  <c r="GX42" i="1"/>
  <c r="GZ27" i="1"/>
  <c r="GY26" i="1"/>
  <c r="GX17" i="1"/>
  <c r="GZ23" i="1"/>
  <c r="GY87" i="1"/>
  <c r="GX90" i="1"/>
  <c r="GZ48" i="1"/>
  <c r="GZ40" i="1"/>
  <c r="GZ32" i="1"/>
  <c r="GZ8" i="1"/>
  <c r="GX91" i="1"/>
  <c r="GZ89" i="1"/>
  <c r="GZ81" i="1"/>
  <c r="GY80" i="1"/>
  <c r="GZ73" i="1"/>
  <c r="GZ65" i="1"/>
  <c r="GZ57" i="1"/>
  <c r="GY56" i="1"/>
  <c r="GY24" i="1"/>
  <c r="GY16" i="1"/>
  <c r="GX92" i="1"/>
  <c r="GZ90" i="1"/>
  <c r="GZ71" i="1"/>
  <c r="GX88" i="1"/>
  <c r="AG5" i="1"/>
  <c r="AB6" i="1"/>
  <c r="AB5" i="1"/>
  <c r="DZ7" i="1" l="1"/>
  <c r="DY7" i="1"/>
  <c r="DX7" i="1"/>
  <c r="DW7" i="1"/>
  <c r="DV7" i="1"/>
  <c r="DU7" i="1"/>
  <c r="EB7" i="1" s="1"/>
  <c r="DT7" i="1"/>
  <c r="DS7" i="1"/>
  <c r="DR7" i="1"/>
  <c r="DZ6" i="1"/>
  <c r="DY6" i="1"/>
  <c r="DX6" i="1"/>
  <c r="DW6" i="1"/>
  <c r="DV6" i="1"/>
  <c r="DU6" i="1"/>
  <c r="DT6" i="1"/>
  <c r="DS6" i="1"/>
  <c r="DR6" i="1"/>
  <c r="DZ5" i="1"/>
  <c r="DY5" i="1"/>
  <c r="DX5" i="1"/>
  <c r="DW5" i="1"/>
  <c r="DV5" i="1"/>
  <c r="DU5" i="1"/>
  <c r="DT5" i="1"/>
  <c r="DS5" i="1"/>
  <c r="DR5" i="1"/>
  <c r="EB6" i="1" l="1"/>
  <c r="EC6" i="1"/>
  <c r="EC7" i="1"/>
  <c r="EB5" i="1"/>
  <c r="EA5" i="1"/>
  <c r="EC5" i="1"/>
  <c r="EA6" i="1"/>
  <c r="EA7" i="1"/>
  <c r="EU7" i="1" l="1"/>
  <c r="U6" i="1"/>
  <c r="V6" i="1" s="1"/>
  <c r="W6" i="1"/>
  <c r="Y6" i="1" s="1"/>
  <c r="X6" i="1"/>
  <c r="Z6" i="1"/>
  <c r="AA6" i="1"/>
  <c r="FG6" i="1" l="1"/>
  <c r="FH6" i="1" s="1"/>
  <c r="FG7" i="1"/>
  <c r="FH7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EU6" i="1"/>
  <c r="ED6" i="1"/>
  <c r="FJ6" i="1" s="1"/>
  <c r="ED7" i="1"/>
  <c r="FJ7" i="1" s="1"/>
  <c r="AC6" i="1"/>
  <c r="AD6" i="1"/>
  <c r="AE6" i="1"/>
  <c r="AF6" i="1"/>
  <c r="AG6" i="1"/>
  <c r="AH6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FG5" i="1"/>
  <c r="FH5" i="1" s="1"/>
  <c r="AI6" i="1" l="1"/>
  <c r="GX5" i="1"/>
  <c r="GY5" i="1"/>
  <c r="GY6" i="1"/>
  <c r="GZ5" i="1"/>
  <c r="GY7" i="1"/>
  <c r="GX6" i="1"/>
  <c r="GX7" i="1"/>
  <c r="GZ7" i="1"/>
  <c r="GZ6" i="1"/>
  <c r="ED5" i="1" l="1"/>
  <c r="FJ5" i="1" s="1"/>
  <c r="EU5" i="1"/>
  <c r="AA5" i="1"/>
  <c r="AH5" i="1" s="1"/>
  <c r="Z5" i="1"/>
  <c r="AF5" i="1" s="1"/>
  <c r="X5" i="1"/>
  <c r="AD5" i="1" s="1"/>
  <c r="W5" i="1"/>
  <c r="Y5" i="1" s="1"/>
  <c r="AC5" i="1" s="1"/>
  <c r="U5" i="1"/>
  <c r="V5" i="1" s="1"/>
  <c r="AE5" i="1" s="1"/>
  <c r="AI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PowerUser</author>
    <author>Administrator</author>
  </authors>
  <commentList>
    <comment ref="FK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PowerUser: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기억이나지않는다/모르겠다:0
아니요:0
예:1</t>
        </r>
      </text>
    </comment>
    <comment ref="FL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PowerUser: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최근1년간 예:1
최근1년간 아니요:0
1년에한두번:1
1달에한두번:2
1주에한두번:3
1주에3회이상:4</t>
        </r>
      </text>
    </comment>
    <comment ref="GX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꿈관련</t>
        </r>
      </text>
    </comment>
    <comment ref="GY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행동관련</t>
        </r>
      </text>
    </comment>
    <comment ref="DB236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점척도사용</t>
        </r>
      </text>
    </comment>
  </commentList>
</comments>
</file>

<file path=xl/sharedStrings.xml><?xml version="1.0" encoding="utf-8"?>
<sst xmlns="http://schemas.openxmlformats.org/spreadsheetml/2006/main" count="233" uniqueCount="184">
  <si>
    <t>hh:mm</t>
    <phoneticPr fontId="2" type="noConversion"/>
  </si>
  <si>
    <t>수면질</t>
    <phoneticPr fontId="2" type="noConversion"/>
  </si>
  <si>
    <t>수면약</t>
    <phoneticPr fontId="2" type="noConversion"/>
  </si>
  <si>
    <t>입력안함</t>
    <phoneticPr fontId="2" type="noConversion"/>
  </si>
  <si>
    <t xml:space="preserve">Sleep latency </t>
  </si>
  <si>
    <t>Sleep duration</t>
  </si>
  <si>
    <t>Habitual sleep efficiency</t>
  </si>
  <si>
    <t>Sleep disturbance</t>
  </si>
  <si>
    <t>Use of sleeping medication</t>
  </si>
  <si>
    <t>Daytime dysfunction</t>
  </si>
  <si>
    <t>#chart</t>
    <phoneticPr fontId="3" type="noConversion"/>
  </si>
  <si>
    <t>name</t>
    <phoneticPr fontId="3" type="noConversion"/>
  </si>
  <si>
    <t>PSQI_1-hmm</t>
    <phoneticPr fontId="3" type="noConversion"/>
  </si>
  <si>
    <t>PSQI_2_mm</t>
    <phoneticPr fontId="3" type="noConversion"/>
  </si>
  <si>
    <t>PSQI_3_hmm</t>
    <phoneticPr fontId="3" type="noConversion"/>
  </si>
  <si>
    <t>PSQI_4_hmm</t>
    <phoneticPr fontId="3" type="noConversion"/>
  </si>
  <si>
    <t>PSQI5_a</t>
    <phoneticPr fontId="3" type="noConversion"/>
  </si>
  <si>
    <t>PSQI5_b</t>
    <phoneticPr fontId="3" type="noConversion"/>
  </si>
  <si>
    <t>PSQI5_c</t>
    <phoneticPr fontId="3" type="noConversion"/>
  </si>
  <si>
    <t>PSQI5_d</t>
    <phoneticPr fontId="3" type="noConversion"/>
  </si>
  <si>
    <t>PSQI5_e</t>
    <phoneticPr fontId="3" type="noConversion"/>
  </si>
  <si>
    <t>PSQI5_f</t>
    <phoneticPr fontId="3" type="noConversion"/>
  </si>
  <si>
    <t>PSQI5_g</t>
    <phoneticPr fontId="3" type="noConversion"/>
  </si>
  <si>
    <t>PSQI5_H</t>
    <phoneticPr fontId="3" type="noConversion"/>
  </si>
  <si>
    <t>PSQI5_i</t>
    <phoneticPr fontId="3" type="noConversion"/>
  </si>
  <si>
    <t>PSQI5_j</t>
    <phoneticPr fontId="3" type="noConversion"/>
  </si>
  <si>
    <t>PSQI6</t>
  </si>
  <si>
    <t>PSQI7</t>
  </si>
  <si>
    <t>PSQI8</t>
  </si>
  <si>
    <t>PSQI9</t>
  </si>
  <si>
    <t>PSQI_TST</t>
    <phoneticPr fontId="3" type="noConversion"/>
  </si>
  <si>
    <t>SE</t>
    <phoneticPr fontId="3" type="noConversion"/>
  </si>
  <si>
    <t>PsQI_preC2</t>
    <phoneticPr fontId="3" type="noConversion"/>
  </si>
  <si>
    <t>PSQI_preC3</t>
    <phoneticPr fontId="3" type="noConversion"/>
  </si>
  <si>
    <t>PSQI_preC22</t>
    <phoneticPr fontId="3" type="noConversion"/>
  </si>
  <si>
    <t>PSQI_preC5</t>
    <phoneticPr fontId="3" type="noConversion"/>
  </si>
  <si>
    <t>PSQI_preC7</t>
    <phoneticPr fontId="3" type="noConversion"/>
  </si>
  <si>
    <t>PSQI C-2</t>
  </si>
  <si>
    <t>PSQI C-3</t>
  </si>
  <si>
    <t>PSQI C-1</t>
    <phoneticPr fontId="3" type="noConversion"/>
  </si>
  <si>
    <t>PSQI C-4</t>
  </si>
  <si>
    <t>PSQI C-5</t>
  </si>
  <si>
    <t>PSQI C-6</t>
  </si>
  <si>
    <t>PSQI C-7</t>
  </si>
  <si>
    <t>PSQI C-Tot</t>
  </si>
  <si>
    <t>Question</t>
  </si>
  <si>
    <t>Scale</t>
  </si>
  <si>
    <t>Dimension</t>
  </si>
  <si>
    <t>A</t>
  </si>
  <si>
    <t>B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</si>
  <si>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</si>
  <si>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</si>
  <si>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</si>
  <si>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</si>
  <si>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</si>
  <si>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</si>
  <si>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</si>
  <si>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</si>
  <si>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</si>
  <si>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</si>
  <si>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4a</t>
  </si>
  <si>
    <t>4b</t>
  </si>
  <si>
    <t>4c</t>
  </si>
  <si>
    <t>4d</t>
  </si>
  <si>
    <t>5a</t>
  </si>
  <si>
    <t>5b</t>
  </si>
  <si>
    <t>5c</t>
  </si>
  <si>
    <t>9a</t>
  </si>
  <si>
    <t>9b</t>
  </si>
  <si>
    <t>9c</t>
  </si>
  <si>
    <t>9d</t>
  </si>
  <si>
    <t>9e</t>
  </si>
  <si>
    <t>9f</t>
  </si>
  <si>
    <t>9g</t>
  </si>
  <si>
    <t>9h</t>
  </si>
  <si>
    <t>9i</t>
  </si>
  <si>
    <t>11a</t>
  </si>
  <si>
    <t>11b</t>
  </si>
  <si>
    <t>11c</t>
  </si>
  <si>
    <t>11d</t>
  </si>
  <si>
    <t>Physical Function</t>
  </si>
  <si>
    <t>Role-Physical</t>
    <phoneticPr fontId="4" type="noConversion"/>
  </si>
  <si>
    <t>Body Pain</t>
  </si>
  <si>
    <t>General Health</t>
  </si>
  <si>
    <t>Vitality</t>
  </si>
  <si>
    <t>Social Functioing</t>
  </si>
  <si>
    <t>Role Emotional</t>
  </si>
  <si>
    <t>Mental Health</t>
  </si>
  <si>
    <t>Reported Health</t>
  </si>
  <si>
    <t>Physical Health</t>
    <phoneticPr fontId="4" type="noConversion"/>
  </si>
  <si>
    <t>Mental Health</t>
    <phoneticPr fontId="4" type="noConversion"/>
  </si>
  <si>
    <t>TOTAL SF36 Score</t>
  </si>
  <si>
    <t>sum</t>
    <phoneticPr fontId="2" type="noConversion"/>
  </si>
  <si>
    <t>sum</t>
    <phoneticPr fontId="2" type="noConversion"/>
  </si>
  <si>
    <t>HK-4</t>
  </si>
  <si>
    <t>HK-5</t>
  </si>
  <si>
    <t>HK-6</t>
  </si>
  <si>
    <t>HK-7</t>
  </si>
  <si>
    <t>HK-8</t>
  </si>
  <si>
    <t>HK-9</t>
  </si>
  <si>
    <t>HK-10</t>
  </si>
  <si>
    <t>HK-11</t>
  </si>
  <si>
    <t>HK-12</t>
  </si>
  <si>
    <t>HK-13</t>
  </si>
  <si>
    <t>이름</t>
    <phoneticPr fontId="1" type="noConversion"/>
  </si>
  <si>
    <t>RBD-HK_1</t>
    <phoneticPr fontId="1" type="noConversion"/>
  </si>
  <si>
    <t>RBD-HK_1-1</t>
    <phoneticPr fontId="1" type="noConversion"/>
  </si>
  <si>
    <t>RBD-HK_2</t>
    <phoneticPr fontId="1" type="noConversion"/>
  </si>
  <si>
    <t>RBD-HK_2-1</t>
    <phoneticPr fontId="1" type="noConversion"/>
  </si>
  <si>
    <t>RBD-HK_3</t>
    <phoneticPr fontId="1" type="noConversion"/>
  </si>
  <si>
    <t>RBD-HK_3-1</t>
    <phoneticPr fontId="1" type="noConversion"/>
  </si>
  <si>
    <t>RBD-HK_4</t>
    <phoneticPr fontId="1" type="noConversion"/>
  </si>
  <si>
    <t>RBD-HK_4-1</t>
    <phoneticPr fontId="1" type="noConversion"/>
  </si>
  <si>
    <t>RBD-HK_5</t>
    <phoneticPr fontId="1" type="noConversion"/>
  </si>
  <si>
    <t>RBD-HK_5-1</t>
    <phoneticPr fontId="1" type="noConversion"/>
  </si>
  <si>
    <t>RBD-HK_6</t>
    <phoneticPr fontId="1" type="noConversion"/>
  </si>
  <si>
    <t>RBD-HK_6-1</t>
    <phoneticPr fontId="1" type="noConversion"/>
  </si>
  <si>
    <t>RBD-HK_7</t>
    <phoneticPr fontId="1" type="noConversion"/>
  </si>
  <si>
    <t>RBD-HK_7-1</t>
    <phoneticPr fontId="1" type="noConversion"/>
  </si>
  <si>
    <t>RBD-HK_8</t>
    <phoneticPr fontId="1" type="noConversion"/>
  </si>
  <si>
    <t>RBD-HK_8-1</t>
    <phoneticPr fontId="1" type="noConversion"/>
  </si>
  <si>
    <t>RBD-HK_9</t>
    <phoneticPr fontId="1" type="noConversion"/>
  </si>
  <si>
    <t>RBD-HK_9-1</t>
    <phoneticPr fontId="1" type="noConversion"/>
  </si>
  <si>
    <t>RBD-HK_10</t>
    <phoneticPr fontId="1" type="noConversion"/>
  </si>
  <si>
    <t>RBD-HK_10-1</t>
    <phoneticPr fontId="1" type="noConversion"/>
  </si>
  <si>
    <t>RBD-HK_11</t>
    <phoneticPr fontId="1" type="noConversion"/>
  </si>
  <si>
    <t>RBD-HK_11-1</t>
    <phoneticPr fontId="1" type="noConversion"/>
  </si>
  <si>
    <t>RBD-HK_12</t>
    <phoneticPr fontId="1" type="noConversion"/>
  </si>
  <si>
    <t>RBD-HK_12-1</t>
    <phoneticPr fontId="1" type="noConversion"/>
  </si>
  <si>
    <t>RBD-HK_13</t>
    <phoneticPr fontId="1" type="noConversion"/>
  </si>
  <si>
    <t>RBD-HK_13-1</t>
    <phoneticPr fontId="1" type="noConversion"/>
  </si>
  <si>
    <t>HK-1</t>
    <phoneticPr fontId="1" type="noConversion"/>
  </si>
  <si>
    <t>HK-2</t>
    <phoneticPr fontId="1" type="noConversion"/>
  </si>
  <si>
    <t>HK-3</t>
    <phoneticPr fontId="1" type="noConversion"/>
  </si>
  <si>
    <t>분류1</t>
    <phoneticPr fontId="1" type="noConversion"/>
  </si>
  <si>
    <t>분류2</t>
    <phoneticPr fontId="1" type="noConversion"/>
  </si>
  <si>
    <t>SUM</t>
    <phoneticPr fontId="1" type="noConversion"/>
  </si>
  <si>
    <t>RBD-HK  Total score  20 (≥18.5 abnormal)     :   Factor 1(꿈 관련)  (≥11.0 abnormal)  /  Factor 2(행동 관련)  (≥11.0 abnormal)</t>
    <phoneticPr fontId="1" type="noConversion"/>
  </si>
  <si>
    <r>
      <t>hh:mm
24</t>
    </r>
    <r>
      <rPr>
        <sz val="11"/>
        <rFont val="돋움"/>
        <family val="3"/>
        <charset val="129"/>
      </rPr>
      <t>시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rFont val="돋움"/>
        <family val="3"/>
        <charset val="129"/>
      </rPr>
      <t>기준</t>
    </r>
    <phoneticPr fontId="2" type="noConversion"/>
  </si>
  <si>
    <r>
      <rPr>
        <sz val="11"/>
        <rFont val="돋움"/>
        <family val="3"/>
        <charset val="129"/>
      </rPr>
      <t>분으로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rFont val="돋움"/>
        <family val="3"/>
        <charset val="129"/>
      </rPr>
      <t>입력</t>
    </r>
    <phoneticPr fontId="2" type="noConversion"/>
  </si>
  <si>
    <r>
      <t xml:space="preserve"> </t>
    </r>
    <r>
      <rPr>
        <sz val="11"/>
        <rFont val="돋움"/>
        <family val="3"/>
        <charset val="129"/>
      </rPr>
      <t>□</t>
    </r>
    <r>
      <rPr>
        <sz val="11"/>
        <color theme="1"/>
        <rFont val="Calibri"/>
        <family val="2"/>
        <charset val="129"/>
        <scheme val="minor"/>
      </rPr>
      <t xml:space="preserve"> 0 1 2 3</t>
    </r>
    <phoneticPr fontId="2" type="noConversion"/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</si>
  <si>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</t>
    </r>
    <phoneticPr fontId="2" type="noConversion"/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</si>
  <si>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2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</si>
  <si>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</si>
  <si>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</si>
  <si>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5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</si>
  <si>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6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</si>
  <si>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</si>
  <si>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</si>
  <si>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9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</si>
  <si>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10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</si>
  <si>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11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</si>
  <si>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12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</si>
  <si>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</si>
  <si>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</si>
  <si>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15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</si>
  <si>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맑은 고딕"/>
        <family val="2"/>
        <charset val="129"/>
      </rPr>
      <t>DBAS_</t>
    </r>
    <r>
      <rPr>
        <sz val="11"/>
        <color theme="1"/>
        <rFont val="Calibri"/>
        <family val="2"/>
        <charset val="129"/>
        <scheme val="minor"/>
      </rPr>
      <t>16</t>
    </r>
    <r>
      <rPr>
        <sz val="11"/>
        <color theme="1"/>
        <rFont val="Calibri"/>
        <family val="2"/>
        <charset val="129"/>
        <scheme val="minor"/>
      </rPr>
      <t/>
    </r>
  </si>
  <si>
    <r>
      <t>9</t>
    </r>
    <r>
      <rPr>
        <sz val="11"/>
        <rFont val="돋움"/>
        <family val="3"/>
        <charset val="129"/>
      </rPr>
      <t>개반응</t>
    </r>
    <r>
      <rPr>
        <sz val="11"/>
        <color theme="1"/>
        <rFont val="Calibri"/>
        <family val="2"/>
        <charset val="129"/>
        <scheme val="minor"/>
      </rPr>
      <t xml:space="preserve"> </t>
    </r>
    <phoneticPr fontId="2" type="noConversion"/>
  </si>
  <si>
    <r>
      <t>10</t>
    </r>
    <r>
      <rPr>
        <b/>
        <sz val="11"/>
        <color theme="9" tint="-0.249977111117893"/>
        <rFont val="돋움"/>
        <family val="3"/>
        <charset val="129"/>
      </rPr>
      <t>개반응</t>
    </r>
    <phoneticPr fontId="2" type="noConversion"/>
  </si>
  <si>
    <r>
      <t>RLS   
5-4-3-2-1</t>
    </r>
    <r>
      <rPr>
        <sz val="11"/>
        <rFont val="돋움"/>
        <family val="3"/>
        <charset val="129"/>
      </rPr>
      <t>로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color theme="1"/>
        <rFont val="Calibri"/>
        <family val="2"/>
        <charset val="129"/>
        <scheme val="minor"/>
      </rPr>
      <t xml:space="preserve">     score= (sum-</t>
    </r>
    <r>
      <rPr>
        <sz val="11"/>
        <rFont val="돋움"/>
        <family val="3"/>
        <charset val="129"/>
      </rPr>
      <t>반응문항수</t>
    </r>
    <r>
      <rPr>
        <sz val="11"/>
        <color theme="1"/>
        <rFont val="Calibri"/>
        <family val="2"/>
        <charset val="129"/>
        <scheme val="minor"/>
      </rPr>
      <t>)/(</t>
    </r>
    <r>
      <rPr>
        <sz val="11"/>
        <rFont val="돋움"/>
        <family val="3"/>
        <charset val="129"/>
      </rPr>
      <t>반응문항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rFont val="돋움"/>
        <family val="3"/>
        <charset val="129"/>
      </rPr>
      <t>최고점수</t>
    </r>
    <r>
      <rPr>
        <sz val="11"/>
        <color theme="1"/>
        <rFont val="Calibri"/>
        <family val="2"/>
        <charset val="129"/>
        <scheme val="minor"/>
      </rPr>
      <t>-</t>
    </r>
    <r>
      <rPr>
        <sz val="11"/>
        <rFont val="돋움"/>
        <family val="3"/>
        <charset val="129"/>
      </rPr>
      <t>최저점수</t>
    </r>
    <r>
      <rPr>
        <sz val="11"/>
        <color theme="1"/>
        <rFont val="Calibri"/>
        <family val="2"/>
        <charset val="129"/>
        <scheme val="minor"/>
      </rPr>
      <t>)</t>
    </r>
    <phoneticPr fontId="2" type="noConversion"/>
  </si>
  <si>
    <t xml:space="preserve">RLS_QOL </t>
    <phoneticPr fontId="1" type="noConversion"/>
  </si>
  <si>
    <t>정성자</t>
    <phoneticPr fontId="1" type="noConversion"/>
  </si>
  <si>
    <t>김경조</t>
    <phoneticPr fontId="1" type="noConversion"/>
  </si>
  <si>
    <t>Calculation</t>
  </si>
  <si>
    <t>II. PSQI-K</t>
  </si>
  <si>
    <t>I. SF-30 ver.2</t>
  </si>
  <si>
    <t>Sum</t>
  </si>
  <si>
    <t>II. 한국판 수면에 대한 역기능적 신념 및 태도 척도</t>
  </si>
  <si>
    <t>I. 불면증 심각도</t>
  </si>
  <si>
    <t>1(2)</t>
  </si>
  <si>
    <t>1(1)</t>
  </si>
  <si>
    <t>1(3)</t>
  </si>
  <si>
    <t>I. 하지불안 증후군</t>
  </si>
  <si>
    <t>Pass/Fail</t>
  </si>
  <si>
    <t>I. 한국판 엡워스 졸음 척도</t>
  </si>
  <si>
    <t>Pass (If &lt; 11)/Fail (&gt;=11)</t>
  </si>
  <si>
    <t>수면무호흡 위험도 평가</t>
  </si>
  <si>
    <t>S</t>
  </si>
  <si>
    <t>T</t>
  </si>
  <si>
    <t>O</t>
  </si>
  <si>
    <t>P</t>
  </si>
  <si>
    <t>N</t>
  </si>
  <si>
    <t>G</t>
  </si>
  <si>
    <t>Manual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</si>
</sst>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0_ "/>
  </numFmts>
  <fonts count="3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1"/>
      <color theme="2" tint="-0.249977111117893"/>
      <name val="Calibri"/>
      <family val="2"/>
      <charset val="129"/>
      <scheme val="minor"/>
    </font>
    <font>
      <sz val="11"/>
      <color theme="2" tint="-0.249977111117893"/>
      <name val="Calibri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Calibri"/>
      <family val="3"/>
      <charset val="129"/>
      <scheme val="minor"/>
    </font>
    <font>
      <sz val="11"/>
      <color theme="0" tint="-0.249977111117893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돋움"/>
      <family val="3"/>
      <charset val="129"/>
    </font>
    <font>
      <b/>
      <sz val="11"/>
      <color rgb="FFFF0000"/>
      <name val="Calibri"/>
      <family val="3"/>
      <charset val="129"/>
      <scheme val="minor"/>
    </font>
    <font>
      <sz val="11"/>
      <color rgb="FF993300"/>
      <name val="Arial"/>
      <family val="2"/>
    </font>
    <font>
      <b/>
      <i/>
      <sz val="11"/>
      <name val="Arial"/>
      <family val="2"/>
    </font>
    <font>
      <b/>
      <i/>
      <sz val="11"/>
      <color rgb="FF993300"/>
      <name val="Arial"/>
      <family val="2"/>
    </font>
    <font>
      <b/>
      <sz val="11"/>
      <name val="Arial"/>
      <family val="2"/>
    </font>
    <font>
      <b/>
      <sz val="11"/>
      <color indexed="60"/>
      <name val="Arial"/>
      <family val="2"/>
    </font>
    <font>
      <b/>
      <i/>
      <sz val="11"/>
      <color indexed="60"/>
      <name val="Arial"/>
      <family val="2"/>
    </font>
    <font>
      <sz val="11"/>
      <name val="맑은 고딕"/>
      <family val="2"/>
      <charset val="129"/>
    </font>
    <font>
      <sz val="11"/>
      <color indexed="60"/>
      <name val="Arial"/>
      <family val="2"/>
    </font>
    <font>
      <b/>
      <sz val="11"/>
      <name val="Calibri"/>
      <family val="3"/>
      <charset val="129"/>
      <scheme val="minor"/>
    </font>
    <font>
      <b/>
      <sz val="11"/>
      <color theme="4" tint="-0.249977111117893"/>
      <name val="Calibri"/>
      <family val="3"/>
      <charset val="129"/>
      <scheme val="minor"/>
    </font>
    <font>
      <b/>
      <sz val="11"/>
      <color theme="9" tint="-0.249977111117893"/>
      <name val="Calibri"/>
      <family val="2"/>
      <charset val="129"/>
      <scheme val="minor"/>
    </font>
    <font>
      <b/>
      <sz val="11"/>
      <color theme="9" tint="-0.249977111117893"/>
      <name val="돋움"/>
      <family val="3"/>
      <charset val="129"/>
    </font>
    <font>
      <sz val="11"/>
      <color theme="2" tint="-0.249977111117893"/>
      <name val="돋움"/>
      <family val="3"/>
      <charset val="129"/>
    </font>
    <font>
      <b/>
      <sz val="11"/>
      <color theme="2" tint="-0.249977111117893"/>
      <name val="Calibri"/>
      <family val="3"/>
      <charset val="129"/>
      <scheme val="minor"/>
    </font>
    <font>
      <b/>
      <sz val="11"/>
      <color theme="4"/>
      <name val="Calibri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/>
    <xf numFmtId="0" fontId="0" fillId="0" borderId="9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8" borderId="0" xfId="0" applyFill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8" borderId="0" xfId="0" applyFont="1" applyFill="1">
      <alignment vertical="center"/>
    </xf>
    <xf numFmtId="0" fontId="13" fillId="3" borderId="6" xfId="0" applyFont="1" applyFill="1" applyBorder="1" applyAlignment="1"/>
    <xf numFmtId="0" fontId="13" fillId="3" borderId="7" xfId="0" applyFont="1" applyFill="1" applyBorder="1" applyAlignment="1"/>
    <xf numFmtId="0" fontId="13" fillId="4" borderId="8" xfId="0" applyFont="1" applyFill="1" applyBorder="1" applyAlignment="1"/>
    <xf numFmtId="0" fontId="13" fillId="9" borderId="0" xfId="0" applyFont="1" applyFill="1">
      <alignment vertical="center"/>
    </xf>
    <xf numFmtId="0" fontId="0" fillId="10" borderId="0" xfId="0" applyFill="1">
      <alignment vertical="center"/>
    </xf>
    <xf numFmtId="0" fontId="0" fillId="8" borderId="0" xfId="0" applyFill="1" applyAlignment="1">
      <alignment vertical="center" wrapText="1"/>
    </xf>
    <xf numFmtId="164" fontId="0" fillId="8" borderId="0" xfId="0" applyNumberFormat="1" applyFill="1">
      <alignment vertical="center"/>
    </xf>
    <xf numFmtId="0" fontId="14" fillId="8" borderId="0" xfId="0" applyFont="1" applyFill="1">
      <alignment vertical="center"/>
    </xf>
    <xf numFmtId="0" fontId="15" fillId="8" borderId="0" xfId="0" applyFont="1" applyFill="1" applyAlignment="1">
      <alignment vertical="center" wrapText="1"/>
    </xf>
    <xf numFmtId="0" fontId="16" fillId="0" borderId="12" xfId="0" applyFont="1" applyBorder="1" applyAlignment="1"/>
    <xf numFmtId="0" fontId="16" fillId="0" borderId="9" xfId="0" applyFont="1" applyBorder="1" applyAlignment="1"/>
    <xf numFmtId="0" fontId="16" fillId="0" borderId="10" xfId="0" applyFont="1" applyBorder="1" applyAlignment="1"/>
    <xf numFmtId="0" fontId="17" fillId="3" borderId="14" xfId="0" applyFont="1" applyFill="1" applyBorder="1" applyAlignment="1"/>
    <xf numFmtId="0" fontId="17" fillId="3" borderId="15" xfId="0" applyFont="1" applyFill="1" applyBorder="1" applyAlignment="1"/>
    <xf numFmtId="0" fontId="18" fillId="4" borderId="16" xfId="0" applyFont="1" applyFill="1" applyBorder="1" applyAlignment="1"/>
    <xf numFmtId="0" fontId="0" fillId="9" borderId="0" xfId="0" applyFill="1">
      <alignment vertical="center"/>
    </xf>
    <xf numFmtId="0" fontId="0" fillId="10" borderId="0" xfId="0" applyFill="1" applyAlignment="1"/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12" fillId="8" borderId="27" xfId="0" applyFont="1" applyFill="1" applyBorder="1" applyAlignment="1">
      <alignment horizontal="center" vertical="center" wrapText="1"/>
    </xf>
    <xf numFmtId="0" fontId="12" fillId="8" borderId="28" xfId="0" applyFont="1" applyFill="1" applyBorder="1" applyAlignment="1">
      <alignment horizontal="center" vertical="center" wrapText="1"/>
    </xf>
    <xf numFmtId="164" fontId="12" fillId="8" borderId="28" xfId="0" applyNumberFormat="1" applyFont="1" applyFill="1" applyBorder="1" applyAlignment="1">
      <alignment horizontal="center" vertical="center" wrapText="1"/>
    </xf>
    <xf numFmtId="0" fontId="15" fillId="8" borderId="28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vertical="top" wrapText="1"/>
    </xf>
    <xf numFmtId="0" fontId="19" fillId="5" borderId="18" xfId="0" applyFont="1" applyFill="1" applyBorder="1" applyAlignment="1">
      <alignment vertical="top" wrapText="1"/>
    </xf>
    <xf numFmtId="0" fontId="19" fillId="5" borderId="20" xfId="0" applyFont="1" applyFill="1" applyBorder="1" applyAlignment="1">
      <alignment vertical="top" wrapText="1"/>
    </xf>
    <xf numFmtId="0" fontId="19" fillId="5" borderId="21" xfId="0" applyFont="1" applyFill="1" applyBorder="1" applyAlignment="1">
      <alignment vertical="top" wrapText="1"/>
    </xf>
    <xf numFmtId="0" fontId="19" fillId="5" borderId="22" xfId="0" applyFont="1" applyFill="1" applyBorder="1" applyAlignment="1">
      <alignment vertical="top" wrapText="1"/>
    </xf>
    <xf numFmtId="0" fontId="20" fillId="5" borderId="21" xfId="0" applyFont="1" applyFill="1" applyBorder="1" applyAlignment="1">
      <alignment vertical="top" wrapText="1"/>
    </xf>
    <xf numFmtId="0" fontId="20" fillId="5" borderId="18" xfId="0" applyFont="1" applyFill="1" applyBorder="1" applyAlignment="1">
      <alignment vertical="top" wrapText="1"/>
    </xf>
    <xf numFmtId="0" fontId="20" fillId="5" borderId="19" xfId="0" applyFont="1" applyFill="1" applyBorder="1" applyAlignment="1">
      <alignment vertical="top" wrapText="1"/>
    </xf>
    <xf numFmtId="0" fontId="17" fillId="6" borderId="17" xfId="0" applyFont="1" applyFill="1" applyBorder="1" applyAlignment="1">
      <alignment horizontal="left" vertical="top" wrapText="1"/>
    </xf>
    <xf numFmtId="0" fontId="17" fillId="6" borderId="23" xfId="0" applyFont="1" applyFill="1" applyBorder="1" applyAlignment="1">
      <alignment horizontal="left" vertical="top" wrapText="1"/>
    </xf>
    <xf numFmtId="0" fontId="21" fillId="7" borderId="29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4" fillId="0" borderId="1" xfId="0" applyFont="1" applyBorder="1" applyAlignment="1">
      <alignment horizontal="center" vertical="center"/>
    </xf>
    <xf numFmtId="20" fontId="13" fillId="8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64" fontId="13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>
      <alignment vertical="center"/>
    </xf>
    <xf numFmtId="0" fontId="15" fillId="8" borderId="1" xfId="0" applyFont="1" applyFill="1" applyBorder="1">
      <alignment vertical="center"/>
    </xf>
    <xf numFmtId="0" fontId="12" fillId="8" borderId="1" xfId="0" applyFont="1" applyFill="1" applyBorder="1">
      <alignment vertical="center"/>
    </xf>
    <xf numFmtId="0" fontId="0" fillId="0" borderId="24" xfId="0" applyBorder="1" applyAlignment="1"/>
    <xf numFmtId="0" fontId="23" fillId="0" borderId="3" xfId="0" applyFont="1" applyBorder="1" applyAlignment="1"/>
    <xf numFmtId="1" fontId="23" fillId="0" borderId="1" xfId="0" applyNumberFormat="1" applyFont="1" applyBorder="1" applyAlignment="1"/>
    <xf numFmtId="0" fontId="23" fillId="0" borderId="5" xfId="0" applyFont="1" applyBorder="1" applyAlignment="1"/>
    <xf numFmtId="1" fontId="17" fillId="6" borderId="25" xfId="0" applyNumberFormat="1" applyFont="1" applyFill="1" applyBorder="1" applyAlignment="1"/>
    <xf numFmtId="1" fontId="17" fillId="6" borderId="26" xfId="0" applyNumberFormat="1" applyFont="1" applyFill="1" applyBorder="1" applyAlignment="1"/>
    <xf numFmtId="1" fontId="21" fillId="7" borderId="30" xfId="0" applyNumberFormat="1" applyFont="1" applyFill="1" applyBorder="1" applyAlignment="1">
      <alignment horizontal="center" vertical="top" wrapText="1"/>
    </xf>
    <xf numFmtId="0" fontId="0" fillId="9" borderId="1" xfId="0" applyFill="1" applyBorder="1" applyAlignment="1"/>
    <xf numFmtId="0" fontId="0" fillId="10" borderId="1" xfId="0" applyFill="1" applyBorder="1">
      <alignment vertical="center"/>
    </xf>
    <xf numFmtId="0" fontId="0" fillId="10" borderId="1" xfId="0" applyFill="1" applyBorder="1" applyAlignment="1"/>
    <xf numFmtId="0" fontId="0" fillId="0" borderId="2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3" xfId="0" applyBorder="1" applyAlignment="1"/>
    <xf numFmtId="0" fontId="0" fillId="0" borderId="1" xfId="0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0" xfId="0" applyFo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5" fillId="9" borderId="0" xfId="0" applyFont="1" applyFill="1">
      <alignment vertical="center"/>
    </xf>
    <xf numFmtId="0" fontId="25" fillId="9" borderId="1" xfId="0" applyFont="1" applyFill="1" applyBorder="1" applyAlignment="1">
      <alignment wrapText="1"/>
    </xf>
    <xf numFmtId="0" fontId="25" fillId="9" borderId="1" xfId="0" applyFont="1" applyFill="1" applyBorder="1" applyAlignment="1"/>
    <xf numFmtId="0" fontId="26" fillId="10" borderId="0" xfId="0" applyFont="1" applyFill="1">
      <alignment vertical="center"/>
    </xf>
    <xf numFmtId="0" fontId="26" fillId="10" borderId="0" xfId="0" applyFont="1" applyFill="1" applyAlignment="1"/>
    <xf numFmtId="0" fontId="26" fillId="10" borderId="1" xfId="0" applyFont="1" applyFill="1" applyBorder="1" applyAlignment="1">
      <alignment horizontal="center"/>
    </xf>
    <xf numFmtId="0" fontId="26" fillId="10" borderId="1" xfId="0" applyFont="1" applyFill="1" applyBorder="1" applyAlignment="1"/>
    <xf numFmtId="0" fontId="5" fillId="8" borderId="0" xfId="0" applyFont="1" applyFill="1">
      <alignment vertical="center"/>
    </xf>
    <xf numFmtId="164" fontId="5" fillId="8" borderId="0" xfId="0" applyNumberFormat="1" applyFont="1" applyFill="1">
      <alignment vertical="center"/>
    </xf>
    <xf numFmtId="0" fontId="28" fillId="8" borderId="0" xfId="0" applyFont="1" applyFill="1">
      <alignment vertical="center"/>
    </xf>
    <xf numFmtId="164" fontId="29" fillId="8" borderId="28" xfId="0" applyNumberFormat="1" applyFont="1" applyFill="1" applyBorder="1" applyAlignment="1">
      <alignment horizontal="center" vertical="center" wrapText="1"/>
    </xf>
    <xf numFmtId="0" fontId="29" fillId="8" borderId="28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0" fillId="2" borderId="1" xfId="0" applyFill="1" applyBorder="1" applyAlignment="1"/>
    <xf numFmtId="0" fontId="30" fillId="8" borderId="0" xfId="0" applyFont="1" applyFill="1">
      <alignment vertical="center"/>
    </xf>
    <xf numFmtId="0" fontId="30" fillId="8" borderId="0" xfId="0" applyFont="1" applyFill="1" applyAlignment="1">
      <alignment vertical="center" wrapText="1"/>
    </xf>
    <xf numFmtId="0" fontId="30" fillId="8" borderId="28" xfId="0" applyFont="1" applyFill="1" applyBorder="1" applyAlignment="1">
      <alignment horizontal="center" vertical="center" wrapText="1"/>
    </xf>
    <xf numFmtId="0" fontId="30" fillId="8" borderId="1" xfId="0" applyFont="1" applyFill="1" applyBorder="1">
      <alignment vertical="center"/>
    </xf>
    <xf numFmtId="0" fontId="0" fillId="10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12" fillId="8" borderId="0" xfId="0" applyFont="1" applyFill="1" applyBorder="1" applyAlignment="1">
      <alignment horizontal="center" vertical="center" wrapText="1"/>
    </xf>
    <xf numFmtId="0" fontId="12" fillId="0" borderId="0" xfId="0" applyFont="1" applyFill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1" xfId="0" applyFont="1" applyFill="1" applyBorder="1">
      <alignment vertical="center"/>
    </xf>
    <xf numFmtId="0" fontId="12" fillId="10" borderId="0" xfId="0" applyFont="1" applyFill="1">
      <alignment vertical="center"/>
    </xf>
    <xf numFmtId="0" fontId="12" fillId="10" borderId="0" xfId="0" applyFont="1" applyFill="1" applyBorder="1" applyAlignment="1">
      <alignment horizontal="center" vertical="center" wrapText="1"/>
    </xf>
    <xf numFmtId="0" fontId="12" fillId="10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440"/>
  <sheetViews>
    <sheetView tabSelected="1" zoomScale="62" zoomScaleNormal="62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BJ57" sqref="BJ57"/>
    </sheetView>
  </sheetViews>
  <sheetFormatPr baseColWidth="10" defaultColWidth="9" defaultRowHeight="15"/>
  <cols>
    <col min="3" max="6" width="5.6640625" style="7" customWidth="1"/>
    <col min="7" max="20" width="4.6640625" style="7" customWidth="1"/>
    <col min="21" max="27" width="1.83203125" style="85" customWidth="1"/>
    <col min="28" max="28" width="5.6640625" style="96" customWidth="1"/>
    <col min="29" max="52" width="5.6640625" style="10" customWidth="1"/>
    <col min="53" max="53" width="5.6640625" style="111" customWidth="1"/>
    <col min="54" max="60" width="5.6640625" style="105" customWidth="1"/>
    <col min="61" max="61" width="5.6640625" style="111" customWidth="1"/>
    <col min="62" max="65" width="5.6640625" style="105" customWidth="1"/>
    <col min="66" max="66" width="5.6640625" style="111" customWidth="1"/>
    <col min="67" max="75" width="5.6640625" style="105" customWidth="1"/>
    <col min="76" max="76" width="5.6640625" style="111" customWidth="1"/>
    <col min="77" max="84" width="5.6640625" style="105" customWidth="1"/>
    <col min="85" max="85" width="5.6640625" style="111" customWidth="1"/>
    <col min="86" max="121" width="3.6640625" customWidth="1"/>
    <col min="122" max="133" width="5.6640625" customWidth="1"/>
    <col min="134" max="134" width="6" customWidth="1"/>
    <col min="135" max="150" width="5.6640625" style="26" customWidth="1"/>
    <col min="151" max="151" width="5.6640625" style="78" customWidth="1"/>
    <col min="152" max="163" width="4.6640625" style="15" customWidth="1"/>
    <col min="164" max="164" width="4.6640625" style="81" customWidth="1"/>
    <col min="165" max="165" width="4.6640625" style="15" customWidth="1"/>
    <col min="167" max="192" width="5.6640625" customWidth="1"/>
    <col min="193" max="205" width="5.6640625" hidden="1" customWidth="1"/>
    <col min="206" max="208" width="5.6640625" style="76" customWidth="1"/>
  </cols>
  <sheetData>
    <row r="1" spans="1:208" ht="16" thickBot="1">
      <c r="C1" s="108" t="s">
        <v>164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7" t="s">
        <v>163</v>
      </c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5"/>
      <c r="AK1" s="109" t="s">
        <v>167</v>
      </c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 t="s">
        <v>168</v>
      </c>
      <c r="BC1" s="109"/>
      <c r="BD1" s="109"/>
      <c r="BE1" s="109"/>
      <c r="BF1" s="109"/>
      <c r="BG1" s="109"/>
      <c r="BH1" s="109"/>
      <c r="BI1" s="109"/>
      <c r="BJ1" s="109" t="s">
        <v>172</v>
      </c>
      <c r="BK1" s="109"/>
      <c r="BL1" s="109"/>
      <c r="BM1" s="109"/>
      <c r="BN1" s="109"/>
      <c r="BO1" s="109" t="s">
        <v>174</v>
      </c>
      <c r="BP1" s="109"/>
      <c r="BQ1" s="109"/>
      <c r="BR1" s="109"/>
      <c r="BS1" s="109"/>
      <c r="BT1" s="109"/>
      <c r="BU1" s="109"/>
      <c r="BV1" s="109"/>
      <c r="BW1" s="109"/>
      <c r="BX1" s="109"/>
      <c r="BY1" s="109" t="s">
        <v>176</v>
      </c>
      <c r="BZ1" s="109"/>
      <c r="CA1" s="109"/>
      <c r="CB1" s="109"/>
      <c r="CC1" s="109"/>
      <c r="CD1" s="109"/>
      <c r="CE1" s="109"/>
      <c r="CF1" s="109"/>
      <c r="CG1" s="109"/>
      <c r="CH1" s="103" t="s">
        <v>165</v>
      </c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</row>
    <row r="2" spans="1:208" ht="16.5" customHeight="1"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CH2" s="71" t="s">
        <v>45</v>
      </c>
      <c r="CI2" s="71" t="s">
        <v>45</v>
      </c>
      <c r="CJ2" s="71" t="s">
        <v>45</v>
      </c>
      <c r="CK2" s="71" t="s">
        <v>45</v>
      </c>
      <c r="CL2" s="71" t="s">
        <v>45</v>
      </c>
      <c r="CM2" s="71" t="s">
        <v>45</v>
      </c>
      <c r="CN2" s="71" t="s">
        <v>45</v>
      </c>
      <c r="CO2" s="71" t="s">
        <v>45</v>
      </c>
      <c r="CP2" s="71" t="s">
        <v>45</v>
      </c>
      <c r="CQ2" s="71" t="s">
        <v>45</v>
      </c>
      <c r="CR2" s="71" t="s">
        <v>45</v>
      </c>
      <c r="CS2" s="71" t="s">
        <v>45</v>
      </c>
      <c r="CT2" s="71" t="s">
        <v>45</v>
      </c>
      <c r="CU2" s="71" t="s">
        <v>45</v>
      </c>
      <c r="CV2" s="71" t="s">
        <v>45</v>
      </c>
      <c r="CW2" s="71" t="s">
        <v>45</v>
      </c>
      <c r="CX2" s="71" t="s">
        <v>45</v>
      </c>
      <c r="CY2" s="71" t="s">
        <v>45</v>
      </c>
      <c r="CZ2" s="72" t="s">
        <v>45</v>
      </c>
      <c r="DA2" s="73" t="s">
        <v>45</v>
      </c>
      <c r="DB2" s="71" t="s">
        <v>45</v>
      </c>
      <c r="DC2" s="71" t="s">
        <v>45</v>
      </c>
      <c r="DD2" s="71" t="s">
        <v>45</v>
      </c>
      <c r="DE2" s="71" t="s">
        <v>45</v>
      </c>
      <c r="DF2" s="71" t="s">
        <v>45</v>
      </c>
      <c r="DG2" s="71" t="s">
        <v>45</v>
      </c>
      <c r="DH2" s="71" t="s">
        <v>45</v>
      </c>
      <c r="DI2" s="71" t="s">
        <v>45</v>
      </c>
      <c r="DJ2" s="71" t="s">
        <v>45</v>
      </c>
      <c r="DK2" s="71" t="s">
        <v>45</v>
      </c>
      <c r="DL2" s="71" t="s">
        <v>45</v>
      </c>
      <c r="DM2" s="71" t="s">
        <v>45</v>
      </c>
      <c r="DN2" s="71" t="s">
        <v>45</v>
      </c>
      <c r="DO2" s="71" t="s">
        <v>45</v>
      </c>
      <c r="DP2" s="71" t="s">
        <v>45</v>
      </c>
      <c r="DQ2" s="74" t="s">
        <v>45</v>
      </c>
      <c r="DR2" s="73" t="s">
        <v>46</v>
      </c>
      <c r="DS2" s="71" t="s">
        <v>46</v>
      </c>
      <c r="DT2" s="71" t="s">
        <v>46</v>
      </c>
      <c r="DU2" s="71" t="s">
        <v>46</v>
      </c>
      <c r="DV2" s="71" t="s">
        <v>46</v>
      </c>
      <c r="DW2" s="71" t="s">
        <v>46</v>
      </c>
      <c r="DX2" s="71" t="s">
        <v>46</v>
      </c>
      <c r="DY2" s="71" t="s">
        <v>46</v>
      </c>
      <c r="DZ2" s="75"/>
      <c r="EA2" s="11" t="s">
        <v>47</v>
      </c>
      <c r="EB2" s="12" t="s">
        <v>47</v>
      </c>
      <c r="EC2" s="13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</row>
    <row r="3" spans="1:208" ht="113" thickBot="1">
      <c r="B3" s="1"/>
      <c r="C3" s="16" t="s">
        <v>138</v>
      </c>
      <c r="D3" s="7" t="s">
        <v>139</v>
      </c>
      <c r="E3" s="16" t="s">
        <v>138</v>
      </c>
      <c r="F3" s="17" t="s">
        <v>0</v>
      </c>
      <c r="G3" s="7" t="s">
        <v>140</v>
      </c>
      <c r="Q3" s="18" t="s">
        <v>1</v>
      </c>
      <c r="R3" s="18" t="s">
        <v>2</v>
      </c>
      <c r="U3" s="86"/>
      <c r="X3" s="87" t="s">
        <v>3</v>
      </c>
      <c r="AB3" s="97" t="s">
        <v>1</v>
      </c>
      <c r="AC3" s="19" t="s">
        <v>4</v>
      </c>
      <c r="AD3" s="19" t="s">
        <v>5</v>
      </c>
      <c r="AE3" s="19" t="s">
        <v>6</v>
      </c>
      <c r="AF3" s="19" t="s">
        <v>7</v>
      </c>
      <c r="AG3" s="19" t="s">
        <v>8</v>
      </c>
      <c r="AH3" s="19" t="s">
        <v>9</v>
      </c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CH3" s="3">
        <v>1</v>
      </c>
      <c r="CI3" s="3">
        <v>2</v>
      </c>
      <c r="CJ3" s="3">
        <v>3</v>
      </c>
      <c r="CK3" s="3">
        <v>4</v>
      </c>
      <c r="CL3" s="3">
        <v>5</v>
      </c>
      <c r="CM3" s="3">
        <v>6</v>
      </c>
      <c r="CN3" s="3">
        <v>7</v>
      </c>
      <c r="CO3" s="3">
        <v>8</v>
      </c>
      <c r="CP3" s="3">
        <v>9</v>
      </c>
      <c r="CQ3" s="3">
        <v>10</v>
      </c>
      <c r="CR3" s="3">
        <v>11</v>
      </c>
      <c r="CS3" s="3">
        <v>12</v>
      </c>
      <c r="CT3" s="3">
        <v>13</v>
      </c>
      <c r="CU3" s="3">
        <v>14</v>
      </c>
      <c r="CV3" s="3">
        <v>15</v>
      </c>
      <c r="CW3" s="3">
        <v>16</v>
      </c>
      <c r="CX3" s="3">
        <v>17</v>
      </c>
      <c r="CY3" s="3">
        <v>18</v>
      </c>
      <c r="CZ3" s="4">
        <v>19</v>
      </c>
      <c r="DA3" s="5">
        <v>20</v>
      </c>
      <c r="DB3" s="3">
        <v>21</v>
      </c>
      <c r="DC3" s="3">
        <v>22</v>
      </c>
      <c r="DD3" s="3">
        <v>23</v>
      </c>
      <c r="DE3" s="3">
        <v>24</v>
      </c>
      <c r="DF3" s="3">
        <v>25</v>
      </c>
      <c r="DG3" s="3">
        <v>26</v>
      </c>
      <c r="DH3" s="3">
        <v>27</v>
      </c>
      <c r="DI3" s="3">
        <v>28</v>
      </c>
      <c r="DJ3" s="3">
        <v>29</v>
      </c>
      <c r="DK3" s="3">
        <v>30</v>
      </c>
      <c r="DL3" s="3">
        <v>31</v>
      </c>
      <c r="DM3" s="3">
        <v>32</v>
      </c>
      <c r="DN3" s="3">
        <v>33</v>
      </c>
      <c r="DO3" s="3">
        <v>34</v>
      </c>
      <c r="DP3" s="3">
        <v>35</v>
      </c>
      <c r="DQ3" s="6">
        <v>36</v>
      </c>
      <c r="DR3" s="20">
        <v>1</v>
      </c>
      <c r="DS3" s="21">
        <v>2</v>
      </c>
      <c r="DT3" s="21">
        <v>3</v>
      </c>
      <c r="DU3" s="21">
        <v>4</v>
      </c>
      <c r="DV3" s="21">
        <v>5</v>
      </c>
      <c r="DW3" s="21">
        <v>6</v>
      </c>
      <c r="DX3" s="21">
        <v>7</v>
      </c>
      <c r="DY3" s="21">
        <v>8</v>
      </c>
      <c r="DZ3" s="22"/>
      <c r="EA3" s="23" t="s">
        <v>48</v>
      </c>
      <c r="EB3" s="24" t="s">
        <v>49</v>
      </c>
      <c r="EC3" s="25"/>
      <c r="EV3" s="100" t="s">
        <v>159</v>
      </c>
      <c r="EW3" s="101"/>
      <c r="EX3" s="101"/>
      <c r="EY3" s="101"/>
      <c r="EZ3" s="101"/>
      <c r="FA3" s="101"/>
      <c r="FB3" s="101"/>
      <c r="FC3" s="101"/>
      <c r="FD3" s="101"/>
      <c r="FE3" s="101"/>
      <c r="FF3" s="27"/>
      <c r="FG3" s="27"/>
      <c r="FH3" s="82"/>
      <c r="FI3" s="27"/>
      <c r="FJ3" s="102" t="s">
        <v>137</v>
      </c>
      <c r="FK3" s="103"/>
      <c r="FL3" s="103"/>
      <c r="FM3" s="103"/>
      <c r="FN3" s="103"/>
      <c r="FO3" s="103"/>
      <c r="FP3" s="103"/>
      <c r="FQ3" s="103"/>
      <c r="FR3" s="103"/>
      <c r="FS3" s="103"/>
      <c r="FT3" s="103"/>
      <c r="FU3" s="103"/>
      <c r="FV3" s="103"/>
      <c r="FW3" s="103"/>
      <c r="FX3" s="103"/>
      <c r="FY3" s="103"/>
      <c r="FZ3" s="103"/>
      <c r="GA3" s="103"/>
      <c r="GB3" s="103"/>
      <c r="GC3" s="103"/>
      <c r="GD3" s="103"/>
      <c r="GE3" s="103"/>
      <c r="GF3" s="103"/>
      <c r="GG3" s="103"/>
      <c r="GH3" s="103"/>
      <c r="GI3" s="103"/>
      <c r="GJ3" s="103"/>
      <c r="GK3" s="103"/>
      <c r="GL3" s="103"/>
      <c r="GM3" s="103"/>
      <c r="GN3" s="103"/>
      <c r="GO3" s="103"/>
      <c r="GP3" s="103"/>
      <c r="GQ3" s="103"/>
      <c r="GR3" s="103"/>
      <c r="GS3" s="103"/>
      <c r="GT3" s="103"/>
      <c r="GU3" s="103"/>
      <c r="GV3" s="103"/>
      <c r="GW3" s="103"/>
      <c r="GX3" s="103"/>
      <c r="GY3" s="103"/>
      <c r="GZ3" s="103"/>
    </row>
    <row r="4" spans="1:208" ht="177" thickBot="1">
      <c r="A4" s="28" t="s">
        <v>10</v>
      </c>
      <c r="B4" s="29" t="s">
        <v>11</v>
      </c>
      <c r="C4" s="30" t="s">
        <v>12</v>
      </c>
      <c r="D4" s="31" t="s">
        <v>13</v>
      </c>
      <c r="E4" s="31" t="s">
        <v>14</v>
      </c>
      <c r="F4" s="32" t="s">
        <v>15</v>
      </c>
      <c r="G4" s="31" t="s">
        <v>16</v>
      </c>
      <c r="H4" s="31" t="s">
        <v>17</v>
      </c>
      <c r="I4" s="31" t="s">
        <v>18</v>
      </c>
      <c r="J4" s="31" t="s">
        <v>19</v>
      </c>
      <c r="K4" s="31" t="s">
        <v>20</v>
      </c>
      <c r="L4" s="31" t="s">
        <v>21</v>
      </c>
      <c r="M4" s="31" t="s">
        <v>22</v>
      </c>
      <c r="N4" s="31" t="s">
        <v>23</v>
      </c>
      <c r="O4" s="31" t="s">
        <v>24</v>
      </c>
      <c r="P4" s="31" t="s">
        <v>25</v>
      </c>
      <c r="Q4" s="31" t="s">
        <v>26</v>
      </c>
      <c r="R4" s="31" t="s">
        <v>27</v>
      </c>
      <c r="S4" s="31" t="s">
        <v>28</v>
      </c>
      <c r="T4" s="31" t="s">
        <v>29</v>
      </c>
      <c r="U4" s="88" t="s">
        <v>30</v>
      </c>
      <c r="V4" s="89" t="s">
        <v>31</v>
      </c>
      <c r="W4" s="89" t="s">
        <v>32</v>
      </c>
      <c r="X4" s="89" t="s">
        <v>33</v>
      </c>
      <c r="Y4" s="89" t="s">
        <v>34</v>
      </c>
      <c r="Z4" s="89" t="s">
        <v>35</v>
      </c>
      <c r="AA4" s="89" t="s">
        <v>36</v>
      </c>
      <c r="AB4" s="98" t="s">
        <v>39</v>
      </c>
      <c r="AC4" s="33" t="s">
        <v>37</v>
      </c>
      <c r="AD4" s="33" t="s">
        <v>38</v>
      </c>
      <c r="AE4" s="33" t="s">
        <v>40</v>
      </c>
      <c r="AF4" s="33" t="s">
        <v>41</v>
      </c>
      <c r="AG4" s="33" t="s">
        <v>42</v>
      </c>
      <c r="AH4" s="33" t="s">
        <v>43</v>
      </c>
      <c r="AI4" s="31" t="s">
        <v>44</v>
      </c>
      <c r="AJ4" s="104"/>
      <c r="AK4" s="106">
        <v>1</v>
      </c>
      <c r="AL4" s="106">
        <v>2</v>
      </c>
      <c r="AM4" s="106">
        <v>3</v>
      </c>
      <c r="AN4" s="106">
        <v>4</v>
      </c>
      <c r="AO4" s="106">
        <v>5</v>
      </c>
      <c r="AP4" s="106">
        <v>6</v>
      </c>
      <c r="AQ4" s="106">
        <v>7</v>
      </c>
      <c r="AR4" s="106">
        <v>8</v>
      </c>
      <c r="AS4" s="106">
        <v>9</v>
      </c>
      <c r="AT4" s="106">
        <v>10</v>
      </c>
      <c r="AU4" s="106">
        <v>11</v>
      </c>
      <c r="AV4" s="106">
        <v>12</v>
      </c>
      <c r="AW4" s="106">
        <v>13</v>
      </c>
      <c r="AX4" s="106">
        <v>14</v>
      </c>
      <c r="AY4" s="106">
        <v>15</v>
      </c>
      <c r="AZ4" s="106">
        <v>16</v>
      </c>
      <c r="BA4" s="112" t="s">
        <v>166</v>
      </c>
      <c r="BB4" s="106" t="s">
        <v>170</v>
      </c>
      <c r="BC4" s="106" t="s">
        <v>169</v>
      </c>
      <c r="BD4" s="106" t="s">
        <v>171</v>
      </c>
      <c r="BE4" s="106">
        <v>2</v>
      </c>
      <c r="BF4" s="106">
        <v>3</v>
      </c>
      <c r="BG4" s="106">
        <v>4</v>
      </c>
      <c r="BH4" s="106">
        <v>5</v>
      </c>
      <c r="BI4" s="112" t="s">
        <v>166</v>
      </c>
      <c r="BJ4" s="106">
        <v>1</v>
      </c>
      <c r="BK4" s="106">
        <v>2</v>
      </c>
      <c r="BL4" s="106">
        <v>3</v>
      </c>
      <c r="BM4" s="106">
        <v>4</v>
      </c>
      <c r="BN4" s="112" t="s">
        <v>173</v>
      </c>
      <c r="BO4" s="106">
        <v>1</v>
      </c>
      <c r="BP4" s="106">
        <v>2</v>
      </c>
      <c r="BQ4" s="106">
        <v>3</v>
      </c>
      <c r="BR4" s="106">
        <v>4</v>
      </c>
      <c r="BS4" s="106">
        <v>5</v>
      </c>
      <c r="BT4" s="106">
        <v>6</v>
      </c>
      <c r="BU4" s="106">
        <v>7</v>
      </c>
      <c r="BV4" s="106">
        <v>8</v>
      </c>
      <c r="BW4" s="106" t="s">
        <v>166</v>
      </c>
      <c r="BX4" s="112" t="s">
        <v>175</v>
      </c>
      <c r="BY4" s="106" t="s">
        <v>177</v>
      </c>
      <c r="BZ4" s="106" t="s">
        <v>178</v>
      </c>
      <c r="CA4" s="106" t="s">
        <v>179</v>
      </c>
      <c r="CB4" s="106" t="s">
        <v>180</v>
      </c>
      <c r="CC4" s="106" t="s">
        <v>49</v>
      </c>
      <c r="CD4" s="106" t="s">
        <v>48</v>
      </c>
      <c r="CE4" s="106" t="s">
        <v>181</v>
      </c>
      <c r="CF4" s="106" t="s">
        <v>182</v>
      </c>
      <c r="CG4" s="112" t="s">
        <v>183</v>
      </c>
      <c r="CH4" s="34">
        <v>1</v>
      </c>
      <c r="CI4" s="35">
        <v>2</v>
      </c>
      <c r="CJ4" s="35" t="s">
        <v>50</v>
      </c>
      <c r="CK4" s="35" t="s">
        <v>51</v>
      </c>
      <c r="CL4" s="35" t="s">
        <v>52</v>
      </c>
      <c r="CM4" s="35" t="s">
        <v>53</v>
      </c>
      <c r="CN4" s="35" t="s">
        <v>54</v>
      </c>
      <c r="CO4" s="35" t="s">
        <v>55</v>
      </c>
      <c r="CP4" s="35" t="s">
        <v>56</v>
      </c>
      <c r="CQ4" s="35" t="s">
        <v>57</v>
      </c>
      <c r="CR4" s="35" t="s">
        <v>58</v>
      </c>
      <c r="CS4" s="35" t="s">
        <v>59</v>
      </c>
      <c r="CT4" s="35" t="s">
        <v>60</v>
      </c>
      <c r="CU4" s="35" t="s">
        <v>61</v>
      </c>
      <c r="CV4" s="35" t="s">
        <v>62</v>
      </c>
      <c r="CW4" s="35" t="s">
        <v>63</v>
      </c>
      <c r="CX4" s="35" t="s">
        <v>64</v>
      </c>
      <c r="CY4" s="35" t="s">
        <v>65</v>
      </c>
      <c r="CZ4" s="36" t="s">
        <v>66</v>
      </c>
      <c r="DA4" s="37">
        <v>6</v>
      </c>
      <c r="DB4" s="35">
        <v>7</v>
      </c>
      <c r="DC4" s="35">
        <v>8</v>
      </c>
      <c r="DD4" s="35" t="s">
        <v>67</v>
      </c>
      <c r="DE4" s="35" t="s">
        <v>68</v>
      </c>
      <c r="DF4" s="35" t="s">
        <v>69</v>
      </c>
      <c r="DG4" s="35" t="s">
        <v>70</v>
      </c>
      <c r="DH4" s="35" t="s">
        <v>71</v>
      </c>
      <c r="DI4" s="35" t="s">
        <v>72</v>
      </c>
      <c r="DJ4" s="35" t="s">
        <v>73</v>
      </c>
      <c r="DK4" s="35" t="s">
        <v>74</v>
      </c>
      <c r="DL4" s="35" t="s">
        <v>75</v>
      </c>
      <c r="DM4" s="35">
        <v>10</v>
      </c>
      <c r="DN4" s="35" t="s">
        <v>76</v>
      </c>
      <c r="DO4" s="35" t="s">
        <v>77</v>
      </c>
      <c r="DP4" s="35" t="s">
        <v>78</v>
      </c>
      <c r="DQ4" s="38" t="s">
        <v>79</v>
      </c>
      <c r="DR4" s="39" t="s">
        <v>80</v>
      </c>
      <c r="DS4" s="40" t="s">
        <v>81</v>
      </c>
      <c r="DT4" s="40" t="s">
        <v>82</v>
      </c>
      <c r="DU4" s="40" t="s">
        <v>83</v>
      </c>
      <c r="DV4" s="40" t="s">
        <v>84</v>
      </c>
      <c r="DW4" s="40" t="s">
        <v>85</v>
      </c>
      <c r="DX4" s="40" t="s">
        <v>86</v>
      </c>
      <c r="DY4" s="40" t="s">
        <v>87</v>
      </c>
      <c r="DZ4" s="41" t="s">
        <v>88</v>
      </c>
      <c r="EA4" s="42" t="s">
        <v>89</v>
      </c>
      <c r="EB4" s="43" t="s">
        <v>90</v>
      </c>
      <c r="EC4" s="44" t="s">
        <v>91</v>
      </c>
      <c r="ED4" s="2"/>
      <c r="EE4" s="45" t="s">
        <v>141</v>
      </c>
      <c r="EF4" s="45" t="s">
        <v>142</v>
      </c>
      <c r="EG4" s="45" t="s">
        <v>143</v>
      </c>
      <c r="EH4" s="45" t="s">
        <v>144</v>
      </c>
      <c r="EI4" s="45" t="s">
        <v>145</v>
      </c>
      <c r="EJ4" s="45" t="s">
        <v>146</v>
      </c>
      <c r="EK4" s="45" t="s">
        <v>147</v>
      </c>
      <c r="EL4" s="45" t="s">
        <v>148</v>
      </c>
      <c r="EM4" s="45" t="s">
        <v>149</v>
      </c>
      <c r="EN4" s="45" t="s">
        <v>150</v>
      </c>
      <c r="EO4" s="45" t="s">
        <v>151</v>
      </c>
      <c r="EP4" s="45" t="s">
        <v>152</v>
      </c>
      <c r="EQ4" s="45" t="s">
        <v>153</v>
      </c>
      <c r="ER4" s="45" t="s">
        <v>154</v>
      </c>
      <c r="ES4" s="45" t="s">
        <v>155</v>
      </c>
      <c r="ET4" s="45" t="s">
        <v>156</v>
      </c>
      <c r="EU4" s="79" t="s">
        <v>92</v>
      </c>
      <c r="EV4" s="94" t="s">
        <v>160</v>
      </c>
      <c r="EW4" s="46">
        <v>1</v>
      </c>
      <c r="EX4" s="46">
        <v>2</v>
      </c>
      <c r="EY4" s="46">
        <v>3</v>
      </c>
      <c r="EZ4" s="46">
        <v>4</v>
      </c>
      <c r="FA4" s="46">
        <v>5</v>
      </c>
      <c r="FB4" s="46">
        <v>6</v>
      </c>
      <c r="FC4" s="46">
        <v>7</v>
      </c>
      <c r="FD4" s="46">
        <v>8</v>
      </c>
      <c r="FE4" s="46">
        <v>9</v>
      </c>
      <c r="FF4" s="46">
        <v>10</v>
      </c>
      <c r="FG4" s="46" t="s">
        <v>93</v>
      </c>
      <c r="FH4" s="83" t="s">
        <v>158</v>
      </c>
      <c r="FI4" s="46" t="s">
        <v>157</v>
      </c>
      <c r="FJ4" s="8" t="s">
        <v>104</v>
      </c>
      <c r="FK4" s="47" t="s">
        <v>105</v>
      </c>
      <c r="FL4" s="47" t="s">
        <v>106</v>
      </c>
      <c r="FM4" s="47" t="s">
        <v>107</v>
      </c>
      <c r="FN4" s="47" t="s">
        <v>108</v>
      </c>
      <c r="FO4" s="47" t="s">
        <v>109</v>
      </c>
      <c r="FP4" s="47" t="s">
        <v>110</v>
      </c>
      <c r="FQ4" s="47" t="s">
        <v>111</v>
      </c>
      <c r="FR4" s="47" t="s">
        <v>112</v>
      </c>
      <c r="FS4" s="47" t="s">
        <v>113</v>
      </c>
      <c r="FT4" s="47" t="s">
        <v>114</v>
      </c>
      <c r="FU4" s="47" t="s">
        <v>115</v>
      </c>
      <c r="FV4" s="47" t="s">
        <v>116</v>
      </c>
      <c r="FW4" s="47" t="s">
        <v>117</v>
      </c>
      <c r="FX4" s="47" t="s">
        <v>118</v>
      </c>
      <c r="FY4" s="47" t="s">
        <v>119</v>
      </c>
      <c r="FZ4" s="47" t="s">
        <v>120</v>
      </c>
      <c r="GA4" s="47" t="s">
        <v>121</v>
      </c>
      <c r="GB4" s="47" t="s">
        <v>122</v>
      </c>
      <c r="GC4" s="47" t="s">
        <v>123</v>
      </c>
      <c r="GD4" s="47" t="s">
        <v>124</v>
      </c>
      <c r="GE4" s="47" t="s">
        <v>125</v>
      </c>
      <c r="GF4" s="47" t="s">
        <v>126</v>
      </c>
      <c r="GG4" s="47" t="s">
        <v>127</v>
      </c>
      <c r="GH4" s="47" t="s">
        <v>128</v>
      </c>
      <c r="GI4" s="47" t="s">
        <v>129</v>
      </c>
      <c r="GJ4" s="47" t="s">
        <v>130</v>
      </c>
      <c r="GK4" s="9" t="s">
        <v>131</v>
      </c>
      <c r="GL4" s="9" t="s">
        <v>132</v>
      </c>
      <c r="GM4" s="9" t="s">
        <v>133</v>
      </c>
      <c r="GN4" s="9" t="s">
        <v>94</v>
      </c>
      <c r="GO4" s="9" t="s">
        <v>95</v>
      </c>
      <c r="GP4" s="9" t="s">
        <v>96</v>
      </c>
      <c r="GQ4" s="9" t="s">
        <v>97</v>
      </c>
      <c r="GR4" s="9" t="s">
        <v>98</v>
      </c>
      <c r="GS4" s="9" t="s">
        <v>99</v>
      </c>
      <c r="GT4" s="9" t="s">
        <v>100</v>
      </c>
      <c r="GU4" s="9" t="s">
        <v>101</v>
      </c>
      <c r="GV4" s="9" t="s">
        <v>102</v>
      </c>
      <c r="GW4" s="9" t="s">
        <v>103</v>
      </c>
      <c r="GX4" s="77" t="s">
        <v>134</v>
      </c>
      <c r="GY4" s="77" t="s">
        <v>135</v>
      </c>
      <c r="GZ4" s="77" t="s">
        <v>136</v>
      </c>
    </row>
    <row r="5" spans="1:208">
      <c r="A5" s="48"/>
      <c r="B5" s="49" t="s">
        <v>161</v>
      </c>
      <c r="C5" s="50">
        <v>0.95833333333333337</v>
      </c>
      <c r="D5" s="51">
        <v>90</v>
      </c>
      <c r="E5" s="50">
        <v>0.25</v>
      </c>
      <c r="F5" s="52">
        <v>8.3333333333333329E-2</v>
      </c>
      <c r="G5" s="53">
        <v>3</v>
      </c>
      <c r="H5" s="53">
        <v>3</v>
      </c>
      <c r="I5" s="53">
        <v>3</v>
      </c>
      <c r="J5" s="53">
        <v>0</v>
      </c>
      <c r="K5" s="53">
        <v>0</v>
      </c>
      <c r="L5" s="53">
        <v>2</v>
      </c>
      <c r="M5" s="53">
        <v>0</v>
      </c>
      <c r="N5" s="53">
        <v>0</v>
      </c>
      <c r="O5" s="53">
        <v>3</v>
      </c>
      <c r="P5" s="53">
        <v>1</v>
      </c>
      <c r="Q5" s="53">
        <v>3</v>
      </c>
      <c r="R5" s="53">
        <v>0</v>
      </c>
      <c r="S5" s="53">
        <v>0</v>
      </c>
      <c r="T5" s="53">
        <v>0</v>
      </c>
      <c r="U5" s="90">
        <f>E5-C5+(C5&gt;E5)</f>
        <v>0.29166666666666663</v>
      </c>
      <c r="V5" s="91">
        <f>(F5/U5)*100</f>
        <v>28.571428571428577</v>
      </c>
      <c r="W5" s="92">
        <f>IF(D5&gt;60,3,IF(D5&gt;30,2,IF(D5&gt;15,1,0)))</f>
        <v>3</v>
      </c>
      <c r="X5" s="92">
        <f>F5*24*60</f>
        <v>120</v>
      </c>
      <c r="Y5" s="92">
        <f>W5+G5</f>
        <v>6</v>
      </c>
      <c r="Z5" s="91">
        <f>SUM(H5:P5)</f>
        <v>12</v>
      </c>
      <c r="AA5" s="93">
        <f>SUM(S5:T5)</f>
        <v>0</v>
      </c>
      <c r="AB5" s="99">
        <f>Q5</f>
        <v>3</v>
      </c>
      <c r="AC5" s="54">
        <f>IF(Y5&gt;4,3,IF(Y5&gt;2,2,IF(Y5&gt;0,1,0)))</f>
        <v>3</v>
      </c>
      <c r="AD5" s="54">
        <f>IF(X5&lt;300,3,IF(X5&lt;360,2,IF(X5&lt;420,1,0)))</f>
        <v>3</v>
      </c>
      <c r="AE5" s="54">
        <f>IF(V5&lt;65,3,IF(V5&lt;75,2,IF(V5&lt;85,1,0)))</f>
        <v>3</v>
      </c>
      <c r="AF5" s="54">
        <f>IF(Z5&gt;18,3,IF(Z5&gt;9,2,IF(Z5&gt;0,1,0)))</f>
        <v>2</v>
      </c>
      <c r="AG5" s="54">
        <f>R5</f>
        <v>0</v>
      </c>
      <c r="AH5" s="54">
        <f>IF(AA5&gt;4,3,IF(AA5&gt;2,2,IF(AA5&gt;0,1,0)))</f>
        <v>0</v>
      </c>
      <c r="AI5" s="55">
        <f>SUM(AC5:AH5)</f>
        <v>11</v>
      </c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113"/>
      <c r="BB5" s="110"/>
      <c r="BC5" s="110"/>
      <c r="BD5" s="110"/>
      <c r="BE5" s="110"/>
      <c r="BF5" s="110"/>
      <c r="BG5" s="110"/>
      <c r="BH5" s="110"/>
      <c r="BI5" s="113"/>
      <c r="BJ5" s="110"/>
      <c r="BK5" s="110"/>
      <c r="BL5" s="110"/>
      <c r="BM5" s="110"/>
      <c r="BN5" s="113"/>
      <c r="BO5" s="110"/>
      <c r="BP5" s="110"/>
      <c r="BQ5" s="110"/>
      <c r="BR5" s="110"/>
      <c r="BS5" s="110"/>
      <c r="BT5" s="110"/>
      <c r="BU5" s="110"/>
      <c r="BV5" s="110"/>
      <c r="BW5" s="110"/>
      <c r="BX5" s="113"/>
      <c r="BY5" s="110"/>
      <c r="BZ5" s="110"/>
      <c r="CA5" s="110"/>
      <c r="CB5" s="110"/>
      <c r="CC5" s="110"/>
      <c r="CD5" s="110"/>
      <c r="CE5" s="110"/>
      <c r="CF5" s="110"/>
      <c r="CG5" s="113"/>
      <c r="CH5" s="2">
        <v>2</v>
      </c>
      <c r="CI5" s="2">
        <v>4</v>
      </c>
      <c r="CJ5" s="2">
        <v>1</v>
      </c>
      <c r="CK5" s="2">
        <v>2</v>
      </c>
      <c r="CL5" s="2">
        <v>2</v>
      </c>
      <c r="CM5" s="2">
        <v>1</v>
      </c>
      <c r="CN5" s="2">
        <v>2</v>
      </c>
      <c r="CO5" s="2">
        <v>2</v>
      </c>
      <c r="CP5" s="2">
        <v>2</v>
      </c>
      <c r="CQ5" s="2">
        <v>3</v>
      </c>
      <c r="CR5" s="2">
        <v>3</v>
      </c>
      <c r="CS5" s="2">
        <v>3</v>
      </c>
      <c r="CT5" s="2">
        <v>2</v>
      </c>
      <c r="CU5" s="2">
        <v>2</v>
      </c>
      <c r="CV5" s="2">
        <v>2</v>
      </c>
      <c r="CW5" s="2">
        <v>2</v>
      </c>
      <c r="CX5" s="2">
        <v>2</v>
      </c>
      <c r="CY5" s="2">
        <v>2</v>
      </c>
      <c r="CZ5" s="66">
        <v>2</v>
      </c>
      <c r="DA5" s="70">
        <v>1</v>
      </c>
      <c r="DB5" s="2">
        <v>3</v>
      </c>
      <c r="DC5" s="2">
        <v>2</v>
      </c>
      <c r="DD5" s="2">
        <v>2</v>
      </c>
      <c r="DE5" s="2">
        <v>3</v>
      </c>
      <c r="DF5" s="2">
        <v>6</v>
      </c>
      <c r="DG5" s="2">
        <v>3</v>
      </c>
      <c r="DH5" s="2">
        <v>1</v>
      </c>
      <c r="DI5" s="2">
        <v>6</v>
      </c>
      <c r="DJ5" s="2">
        <v>6</v>
      </c>
      <c r="DK5" s="2">
        <v>1</v>
      </c>
      <c r="DL5" s="2">
        <v>3</v>
      </c>
      <c r="DM5" s="2">
        <v>5</v>
      </c>
      <c r="DN5" s="2">
        <v>4</v>
      </c>
      <c r="DO5" s="2">
        <v>1</v>
      </c>
      <c r="DP5" s="2">
        <v>2</v>
      </c>
      <c r="DQ5" s="56">
        <v>2</v>
      </c>
      <c r="DR5" s="57">
        <f>(((SUM(CJ5:CS5))-10)/20)*100</f>
        <v>55.000000000000007</v>
      </c>
      <c r="DS5" s="58">
        <f t="shared" ref="DS5:DS7" si="0">(((SUM(CT5:CW5))-4)/4)*100</f>
        <v>100</v>
      </c>
      <c r="DT5" s="58">
        <f t="shared" ref="DT5:DT7" si="1">((((IF(DB5=1,5,IF(DB5=2,4,IF(DB5=3,3,IF(DB5=4,2,IF(DB5=5,1))))))+(IF(DC5=1,5,IF(DC5=2,4,IF(DC5=3,3,IF(DC5=4,2,IF(DC5=5,1))))))-2)/8)*100)</f>
        <v>62.5</v>
      </c>
      <c r="DU5" s="58">
        <f t="shared" ref="DU5:DU7" si="2">((((IF(CH5=1,"5.0",IF(CH5=2,"4.4",IF(CH5=3,"3.4",IF(CH5=4,"2.0",IF(CH5=5,"1.0"))))))+DN5+DP5+(IF(DO5=1,"5.0",IF(DO5=2,"4.0",IF(DO5=3,"3.0",IF(DO5=4,"2.0",IF(DO5=5,"1.0"))))))+(IF(DQ5=1,"5.0",IF(DQ5=2,"4.0",IF(DQ5=3,"3.0",IF(DQ5=4,"2.0",IF(DQ5=5,"1.0")))))))-5)/20)*100</f>
        <v>72</v>
      </c>
      <c r="DV5" s="58">
        <f t="shared" ref="DV5:DV7" si="3">((((IF(DD5=1,"6.0",IF(DD5=2,"5.0",IF(DD5=3,"4.0",IF(DD5=4,"3.0",IF(DD5=5,"2.0",IF(DD5=6,"1.0")))))))+(IF(DH5=1,"6.0",IF(DH5=2,"5.0",IF(DH5=3,"4.0",IF(DH5=4,"3.0",IF(DH5=5,"2.0",IF(DH5=6,"1.0")))))))+DJ5+DL5)-4)/20)*100</f>
        <v>80</v>
      </c>
      <c r="DW5" s="58">
        <f t="shared" ref="DW5:DW7" si="4">((((IF(DA5=1,"5.0",IF(DA5=2,"4.0",IF(DA5=3,"3.0",IF(DA5=4,"2.0",IF(DA5=5,"1.0"))))))+DM5)-2)/8)*100</f>
        <v>100</v>
      </c>
      <c r="DX5" s="58">
        <f t="shared" ref="DX5:DX7" si="5">(((CX5+CY5+CZ5)-3)/3)*100</f>
        <v>100</v>
      </c>
      <c r="DY5" s="58">
        <f t="shared" ref="DY5:DY7" si="6">((((IF(DG5=1,"6.0",IF(DG5=2,"5.0",IF(DG5=3,"4.0",IF(DG5=4,"3.0",IF(DG5=5,"2.0",IF(DG5=6,"1.0")))))))+(IF(DK5=1,"6.0",IF(DK5=2,"5.0",IF(DK5=3,"4.0",IF(DK5=4,"3.0",IF(DK5=5,"2.0",IF(DK5=6,"1.0")))))))+DE5+DF5+DI5)-5)/25)*100</f>
        <v>80</v>
      </c>
      <c r="DZ5" s="59" t="str">
        <f t="shared" ref="DZ5:DZ7" si="7">IF(CI5=1,"++",IF(CI5=2,"+",IF(CI5=3,"0",IF(CI5=4,"-",IF(CI5=5,"- -")))))</f>
        <v>-</v>
      </c>
      <c r="EA5" s="60">
        <f>AVERAGE(DR5:DV5)</f>
        <v>73.900000000000006</v>
      </c>
      <c r="EB5" s="61">
        <f>AVERAGE(DU5:DY5)</f>
        <v>86.4</v>
      </c>
      <c r="EC5" s="62">
        <f t="shared" ref="EC5:EC7" si="8">AVERAGE(DR5:DY5)</f>
        <v>81.1875</v>
      </c>
      <c r="ED5" s="2" t="str">
        <f>B5</f>
        <v>정성자</v>
      </c>
      <c r="EE5" s="63">
        <v>10</v>
      </c>
      <c r="EF5" s="63">
        <v>3</v>
      </c>
      <c r="EG5" s="63">
        <v>10</v>
      </c>
      <c r="EH5" s="63">
        <v>10</v>
      </c>
      <c r="EI5" s="63">
        <v>2</v>
      </c>
      <c r="EJ5" s="63">
        <v>1</v>
      </c>
      <c r="EK5" s="63">
        <v>1</v>
      </c>
      <c r="EL5" s="63">
        <v>1</v>
      </c>
      <c r="EM5" s="63">
        <v>2</v>
      </c>
      <c r="EN5" s="63">
        <v>10</v>
      </c>
      <c r="EO5" s="63">
        <v>10</v>
      </c>
      <c r="EP5" s="63">
        <v>2</v>
      </c>
      <c r="EQ5" s="63">
        <v>5</v>
      </c>
      <c r="ER5" s="63">
        <v>1</v>
      </c>
      <c r="ES5" s="63">
        <v>1</v>
      </c>
      <c r="ET5" s="63">
        <v>1</v>
      </c>
      <c r="EU5" s="80">
        <f>SUM(EE5:ET5)</f>
        <v>70</v>
      </c>
      <c r="EV5" s="64"/>
      <c r="EW5" s="65">
        <v>4</v>
      </c>
      <c r="EX5" s="65">
        <v>5</v>
      </c>
      <c r="EY5" s="65">
        <v>5</v>
      </c>
      <c r="EZ5" s="65">
        <v>5</v>
      </c>
      <c r="FA5" s="65">
        <v>5</v>
      </c>
      <c r="FB5" s="65">
        <v>5</v>
      </c>
      <c r="FC5" s="65">
        <v>5</v>
      </c>
      <c r="FD5" s="65">
        <v>5</v>
      </c>
      <c r="FE5" s="65">
        <v>4</v>
      </c>
      <c r="FF5" s="65">
        <v>5</v>
      </c>
      <c r="FG5" s="65">
        <f>SUM(EW5:FF5)</f>
        <v>48</v>
      </c>
      <c r="FH5" s="84">
        <f>((FG5-10)/40)*100</f>
        <v>95</v>
      </c>
      <c r="FI5" s="65"/>
      <c r="FJ5" s="8" t="str">
        <f>ED5</f>
        <v>정성자</v>
      </c>
      <c r="FK5" s="8">
        <v>1</v>
      </c>
      <c r="FL5" s="8">
        <v>2</v>
      </c>
      <c r="FM5" s="8">
        <v>0</v>
      </c>
      <c r="FN5" s="8">
        <v>0</v>
      </c>
      <c r="FO5" s="8">
        <v>1</v>
      </c>
      <c r="FP5" s="8">
        <v>1</v>
      </c>
      <c r="FQ5" s="8">
        <v>1</v>
      </c>
      <c r="FR5" s="8">
        <v>1</v>
      </c>
      <c r="FS5" s="8">
        <v>0</v>
      </c>
      <c r="FT5" s="8">
        <v>0</v>
      </c>
      <c r="FU5" s="8">
        <v>1</v>
      </c>
      <c r="FV5" s="8">
        <v>2</v>
      </c>
      <c r="FW5" s="8">
        <v>1</v>
      </c>
      <c r="FX5" s="8">
        <v>2</v>
      </c>
      <c r="FY5" s="8">
        <v>1</v>
      </c>
      <c r="FZ5" s="8">
        <v>2</v>
      </c>
      <c r="GA5" s="8">
        <v>1</v>
      </c>
      <c r="GB5" s="8">
        <v>1</v>
      </c>
      <c r="GC5" s="8">
        <v>1</v>
      </c>
      <c r="GD5" s="8">
        <v>1</v>
      </c>
      <c r="GE5" s="8">
        <v>1</v>
      </c>
      <c r="GF5" s="8">
        <v>1</v>
      </c>
      <c r="GG5" s="8">
        <v>1</v>
      </c>
      <c r="GH5" s="8">
        <v>1</v>
      </c>
      <c r="GI5" s="8">
        <v>1</v>
      </c>
      <c r="GJ5" s="8">
        <v>1</v>
      </c>
      <c r="GK5" s="9">
        <f>FK5+FL5</f>
        <v>3</v>
      </c>
      <c r="GL5" s="9">
        <f>FM5+FN5</f>
        <v>0</v>
      </c>
      <c r="GM5" s="9">
        <f>FO5+FP5</f>
        <v>2</v>
      </c>
      <c r="GN5" s="9">
        <f>FQ5+FR5</f>
        <v>2</v>
      </c>
      <c r="GO5" s="9">
        <f>FS5+FT5</f>
        <v>0</v>
      </c>
      <c r="GP5" s="9">
        <f>(2*FU5)+(2*FV5)</f>
        <v>6</v>
      </c>
      <c r="GQ5" s="9">
        <f>(2*FW5)+(2*FX5)</f>
        <v>6</v>
      </c>
      <c r="GR5" s="9">
        <f>(2*FY5)+(2*FZ5)</f>
        <v>6</v>
      </c>
      <c r="GS5" s="9">
        <f>(2*GA5)+(2*GB5)</f>
        <v>4</v>
      </c>
      <c r="GT5" s="9">
        <f>(2*GC5)+(2*GD5)</f>
        <v>4</v>
      </c>
      <c r="GU5" s="9">
        <f>(2*GE5)+(2*GF5)</f>
        <v>4</v>
      </c>
      <c r="GV5" s="9">
        <f>(2*GG5)+(2*GH5)</f>
        <v>4</v>
      </c>
      <c r="GW5" s="9">
        <f>GI5+GJ5</f>
        <v>2</v>
      </c>
      <c r="GX5" s="77">
        <f>GK5+GL5+GM5+GO5+GW5</f>
        <v>7</v>
      </c>
      <c r="GY5" s="77">
        <f>GN5+GP5+GQ5+GR5+GS5+GT5+GU5+GV5</f>
        <v>36</v>
      </c>
      <c r="GZ5" s="77">
        <f>SUM(GK5:GW5)</f>
        <v>43</v>
      </c>
    </row>
    <row r="6" spans="1:208">
      <c r="A6" s="48"/>
      <c r="B6" s="49" t="s">
        <v>162</v>
      </c>
      <c r="C6" s="50">
        <v>0.83333333333333337</v>
      </c>
      <c r="D6" s="51">
        <v>10</v>
      </c>
      <c r="E6" s="50">
        <v>8.3333333333333329E-2</v>
      </c>
      <c r="F6" s="52">
        <v>0.1875</v>
      </c>
      <c r="G6" s="53">
        <v>0</v>
      </c>
      <c r="H6" s="53">
        <v>3</v>
      </c>
      <c r="I6" s="53">
        <v>1</v>
      </c>
      <c r="J6" s="53">
        <v>0</v>
      </c>
      <c r="K6" s="53">
        <v>0</v>
      </c>
      <c r="L6" s="53">
        <v>0</v>
      </c>
      <c r="M6" s="53">
        <v>0</v>
      </c>
      <c r="N6" s="53">
        <v>0</v>
      </c>
      <c r="O6" s="53">
        <v>0</v>
      </c>
      <c r="P6" s="53">
        <v>0</v>
      </c>
      <c r="Q6" s="53">
        <v>2</v>
      </c>
      <c r="R6" s="53">
        <v>0</v>
      </c>
      <c r="S6" s="53">
        <v>2</v>
      </c>
      <c r="T6" s="53">
        <v>2</v>
      </c>
      <c r="U6" s="90">
        <f>E6-C6+(C6&gt;E6)</f>
        <v>0.25</v>
      </c>
      <c r="V6" s="91">
        <f>(F6/U6)*100</f>
        <v>75</v>
      </c>
      <c r="W6" s="92">
        <f>IF(D6&gt;60,3,IF(D6&gt;30,2,IF(D6&gt;15,1,0)))</f>
        <v>0</v>
      </c>
      <c r="X6" s="92">
        <f>F6*24*60</f>
        <v>270</v>
      </c>
      <c r="Y6" s="92">
        <f>W6+G6</f>
        <v>0</v>
      </c>
      <c r="Z6" s="91">
        <f>SUM(H6:P6)</f>
        <v>4</v>
      </c>
      <c r="AA6" s="93">
        <f>SUM(S6:T6)</f>
        <v>4</v>
      </c>
      <c r="AB6" s="99">
        <f>Q6</f>
        <v>2</v>
      </c>
      <c r="AC6" s="54">
        <f>IF(Y6&gt;4,3,IF(Y6&gt;2,2,IF(Y6&gt;0,1,0)))</f>
        <v>0</v>
      </c>
      <c r="AD6" s="54">
        <f>IF(X6&lt;300,3,IF(X6&lt;360,2,IF(X6&lt;420,1,0)))</f>
        <v>3</v>
      </c>
      <c r="AE6" s="54">
        <f>IF(V6&lt;65,3,IF(V6&lt;75,2,IF(V6&lt;85,1,0)))</f>
        <v>1</v>
      </c>
      <c r="AF6" s="54">
        <f>IF(Z6&gt;18,3,IF(Z6&gt;9,2,IF(Z6&gt;0,1,0)))</f>
        <v>1</v>
      </c>
      <c r="AG6" s="54">
        <f>R6</f>
        <v>0</v>
      </c>
      <c r="AH6" s="54">
        <f>IF(AA6&gt;4,3,IF(AA6&gt;2,2,IF(AA6&gt;0,1,0)))</f>
        <v>2</v>
      </c>
      <c r="AI6" s="55">
        <f>AB6+AC6+AD6+AE6+AF6+AG6+AH6</f>
        <v>9</v>
      </c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113"/>
      <c r="BB6" s="110"/>
      <c r="BC6" s="110"/>
      <c r="BD6" s="110"/>
      <c r="BE6" s="110"/>
      <c r="BF6" s="110"/>
      <c r="BG6" s="110"/>
      <c r="BH6" s="110"/>
      <c r="BI6" s="113"/>
      <c r="BJ6" s="110"/>
      <c r="BK6" s="110"/>
      <c r="BL6" s="110"/>
      <c r="BM6" s="110"/>
      <c r="BN6" s="113"/>
      <c r="BO6" s="110"/>
      <c r="BP6" s="110"/>
      <c r="BQ6" s="110"/>
      <c r="BR6" s="110"/>
      <c r="BS6" s="110"/>
      <c r="BT6" s="110"/>
      <c r="BU6" s="110"/>
      <c r="BV6" s="110"/>
      <c r="BW6" s="110"/>
      <c r="BX6" s="113"/>
      <c r="BY6" s="110"/>
      <c r="BZ6" s="110"/>
      <c r="CA6" s="110"/>
      <c r="CB6" s="110"/>
      <c r="CC6" s="110"/>
      <c r="CD6" s="110"/>
      <c r="CE6" s="110"/>
      <c r="CF6" s="110"/>
      <c r="CG6" s="113"/>
      <c r="CH6" s="2">
        <v>3</v>
      </c>
      <c r="CI6" s="2">
        <v>1</v>
      </c>
      <c r="CJ6" s="2">
        <v>1</v>
      </c>
      <c r="CK6" s="2">
        <v>3</v>
      </c>
      <c r="CL6" s="2">
        <v>3</v>
      </c>
      <c r="CM6" s="2">
        <v>3</v>
      </c>
      <c r="CN6" s="2">
        <v>3</v>
      </c>
      <c r="CO6" s="2">
        <v>3</v>
      </c>
      <c r="CP6" s="2">
        <v>3</v>
      </c>
      <c r="CQ6" s="2">
        <v>3</v>
      </c>
      <c r="CR6" s="2">
        <v>3</v>
      </c>
      <c r="CS6" s="2">
        <v>3</v>
      </c>
      <c r="CT6" s="2">
        <v>1</v>
      </c>
      <c r="CU6" s="2">
        <v>1</v>
      </c>
      <c r="CV6" s="2">
        <v>2</v>
      </c>
      <c r="CW6" s="2">
        <v>1</v>
      </c>
      <c r="CX6" s="2">
        <v>1</v>
      </c>
      <c r="CY6" s="2">
        <v>1</v>
      </c>
      <c r="CZ6" s="66">
        <v>1</v>
      </c>
      <c r="DA6" s="70">
        <v>1</v>
      </c>
      <c r="DB6" s="2">
        <v>4</v>
      </c>
      <c r="DC6" s="2">
        <v>4</v>
      </c>
      <c r="DD6" s="2">
        <v>5</v>
      </c>
      <c r="DE6" s="2">
        <v>3</v>
      </c>
      <c r="DF6" s="2">
        <v>6</v>
      </c>
      <c r="DG6" s="2">
        <v>2</v>
      </c>
      <c r="DH6" s="2">
        <v>4</v>
      </c>
      <c r="DI6" s="2">
        <v>5</v>
      </c>
      <c r="DJ6" s="2">
        <v>3</v>
      </c>
      <c r="DK6" s="2">
        <v>3</v>
      </c>
      <c r="DL6" s="2">
        <v>3</v>
      </c>
      <c r="DM6" s="2">
        <v>3</v>
      </c>
      <c r="DN6" s="2">
        <v>4</v>
      </c>
      <c r="DO6" s="2">
        <v>1</v>
      </c>
      <c r="DP6" s="2">
        <v>4</v>
      </c>
      <c r="DQ6" s="56">
        <v>4</v>
      </c>
      <c r="DR6" s="57">
        <f t="shared" ref="DR6:DR7" si="9">(((SUM(CJ6:CS6))-10)/20)*100</f>
        <v>90</v>
      </c>
      <c r="DS6" s="58">
        <f>(((SUM(CT6:CW6))-4)/4)*100</f>
        <v>25</v>
      </c>
      <c r="DT6" s="58">
        <f t="shared" si="1"/>
        <v>25</v>
      </c>
      <c r="DU6" s="58">
        <f t="shared" si="2"/>
        <v>67</v>
      </c>
      <c r="DV6" s="58">
        <f t="shared" si="3"/>
        <v>35</v>
      </c>
      <c r="DW6" s="58">
        <f t="shared" si="4"/>
        <v>75</v>
      </c>
      <c r="DX6" s="58">
        <f t="shared" si="5"/>
        <v>0</v>
      </c>
      <c r="DY6" s="58">
        <f t="shared" si="6"/>
        <v>72</v>
      </c>
      <c r="DZ6" s="59" t="str">
        <f t="shared" si="7"/>
        <v>++</v>
      </c>
      <c r="EA6" s="60">
        <f t="shared" ref="EA6:EA7" si="10">AVERAGE(DR6:DV6)</f>
        <v>48.4</v>
      </c>
      <c r="EB6" s="61">
        <f t="shared" ref="EB6:EB7" si="11">AVERAGE(DU6:DY6)</f>
        <v>49.8</v>
      </c>
      <c r="EC6" s="62">
        <f t="shared" si="8"/>
        <v>48.625</v>
      </c>
      <c r="ED6" s="2" t="str">
        <f>B6</f>
        <v>김경조</v>
      </c>
      <c r="EE6" s="63">
        <v>5</v>
      </c>
      <c r="EF6" s="63">
        <v>5</v>
      </c>
      <c r="EG6" s="63">
        <v>8</v>
      </c>
      <c r="EH6" s="63">
        <v>5</v>
      </c>
      <c r="EI6" s="63">
        <v>9</v>
      </c>
      <c r="EJ6" s="63">
        <v>1</v>
      </c>
      <c r="EK6" s="63">
        <v>9</v>
      </c>
      <c r="EL6" s="63">
        <v>6</v>
      </c>
      <c r="EM6" s="63">
        <v>9</v>
      </c>
      <c r="EN6" s="63">
        <v>1</v>
      </c>
      <c r="EO6" s="63">
        <v>1</v>
      </c>
      <c r="EP6" s="63">
        <v>10</v>
      </c>
      <c r="EQ6" s="63">
        <v>6</v>
      </c>
      <c r="ER6" s="63">
        <v>10</v>
      </c>
      <c r="ES6" s="63">
        <v>1</v>
      </c>
      <c r="ET6" s="63">
        <v>6</v>
      </c>
      <c r="EU6" s="80">
        <f>SUM(EE6:ET6)</f>
        <v>92</v>
      </c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5">
        <f t="shared" ref="FG6:FG7" si="12">SUM(EW6:FF6)</f>
        <v>0</v>
      </c>
      <c r="FH6" s="84">
        <f t="shared" ref="FH6:FH7" si="13">((FG6-10)/40)*100</f>
        <v>-25</v>
      </c>
      <c r="FI6" s="64"/>
      <c r="FJ6" s="8" t="str">
        <f>ED6</f>
        <v>김경조</v>
      </c>
      <c r="FK6" s="67">
        <v>1</v>
      </c>
      <c r="FL6" s="67">
        <v>4</v>
      </c>
      <c r="FM6" s="67">
        <v>1</v>
      </c>
      <c r="FN6" s="67">
        <v>1</v>
      </c>
      <c r="FO6" s="67">
        <v>0</v>
      </c>
      <c r="FP6" s="67">
        <v>0</v>
      </c>
      <c r="FQ6" s="67">
        <v>1</v>
      </c>
      <c r="FR6" s="67">
        <v>2</v>
      </c>
      <c r="FS6" s="67">
        <v>0</v>
      </c>
      <c r="FT6" s="67">
        <v>0</v>
      </c>
      <c r="FU6" s="67">
        <v>1</v>
      </c>
      <c r="FV6" s="67">
        <v>2</v>
      </c>
      <c r="FW6" s="67">
        <v>1</v>
      </c>
      <c r="FX6" s="67">
        <v>1</v>
      </c>
      <c r="FY6" s="67">
        <v>1</v>
      </c>
      <c r="FZ6" s="67">
        <v>1</v>
      </c>
      <c r="GA6" s="67">
        <v>1</v>
      </c>
      <c r="GB6" s="67">
        <v>1</v>
      </c>
      <c r="GC6" s="67">
        <v>0</v>
      </c>
      <c r="GD6" s="67">
        <v>0</v>
      </c>
      <c r="GE6" s="67">
        <v>0</v>
      </c>
      <c r="GF6" s="67">
        <v>0</v>
      </c>
      <c r="GG6" s="67">
        <v>0</v>
      </c>
      <c r="GH6" s="67">
        <v>0</v>
      </c>
      <c r="GI6" s="67">
        <v>1</v>
      </c>
      <c r="GJ6" s="8">
        <v>1</v>
      </c>
      <c r="GK6" s="9">
        <f>FK6+FL6</f>
        <v>5</v>
      </c>
      <c r="GL6" s="9">
        <f>FM6+FN6</f>
        <v>2</v>
      </c>
      <c r="GM6" s="9">
        <f>FO6+FP6</f>
        <v>0</v>
      </c>
      <c r="GN6" s="9">
        <f>FQ6+FR6</f>
        <v>3</v>
      </c>
      <c r="GO6" s="9">
        <f>FS6+FT6</f>
        <v>0</v>
      </c>
      <c r="GP6" s="9">
        <f>(2*FU6)+(2*FV6)</f>
        <v>6</v>
      </c>
      <c r="GQ6" s="9">
        <f>(2*FW6)+(2*FX6)</f>
        <v>4</v>
      </c>
      <c r="GR6" s="9">
        <f>(2*FY6)+(2*FZ6)</f>
        <v>4</v>
      </c>
      <c r="GS6" s="9">
        <f>(2*GA6)+(2*GB6)</f>
        <v>4</v>
      </c>
      <c r="GT6" s="9">
        <f>(2*GC6)+(2*GD6)</f>
        <v>0</v>
      </c>
      <c r="GU6" s="9">
        <f>(2*GE6)+(2*GF6)</f>
        <v>0</v>
      </c>
      <c r="GV6" s="9">
        <f>(2*GG6)+(2*GH6)</f>
        <v>0</v>
      </c>
      <c r="GW6" s="9">
        <f>GI6+GJ6</f>
        <v>2</v>
      </c>
      <c r="GX6" s="77">
        <f>GK6+GL6+GM6+GO6+GW6</f>
        <v>9</v>
      </c>
      <c r="GY6" s="77">
        <f>GN6+GP6+GQ6+GR6+GS6+GT6+GU6+GV6</f>
        <v>21</v>
      </c>
      <c r="GZ6" s="77">
        <f>SUM(GK6:GW6)</f>
        <v>30</v>
      </c>
    </row>
    <row r="7" spans="1:208">
      <c r="A7" s="68"/>
      <c r="B7" s="69"/>
      <c r="C7" s="50">
        <v>0.91666666666666663</v>
      </c>
      <c r="D7" s="51">
        <v>10</v>
      </c>
      <c r="E7" s="50">
        <v>0.27083333333333331</v>
      </c>
      <c r="F7" s="52">
        <v>0.35416666666666669</v>
      </c>
      <c r="G7" s="53">
        <v>0</v>
      </c>
      <c r="H7" s="53">
        <v>0</v>
      </c>
      <c r="I7" s="53">
        <v>1</v>
      </c>
      <c r="J7" s="53">
        <v>0</v>
      </c>
      <c r="K7" s="53">
        <v>0</v>
      </c>
      <c r="L7" s="53">
        <v>1</v>
      </c>
      <c r="M7" s="53">
        <v>1</v>
      </c>
      <c r="N7" s="53">
        <v>0</v>
      </c>
      <c r="O7" s="53">
        <v>0</v>
      </c>
      <c r="P7" s="53">
        <v>0</v>
      </c>
      <c r="Q7" s="53">
        <v>1</v>
      </c>
      <c r="R7" s="53">
        <v>0</v>
      </c>
      <c r="S7" s="53">
        <v>0</v>
      </c>
      <c r="T7" s="53">
        <v>0</v>
      </c>
      <c r="U7" s="90">
        <f t="shared" ref="U7:U30" si="14">E7-C7+(C7&gt;E7)</f>
        <v>0.35416666666666674</v>
      </c>
      <c r="V7" s="91">
        <f t="shared" ref="V7:V30" si="15">(F7/U7)*100</f>
        <v>99.999999999999986</v>
      </c>
      <c r="W7" s="92">
        <f t="shared" ref="W7:W30" si="16">IF(D7&gt;60,3,IF(D7&gt;30,2,IF(D7&gt;15,1,0)))</f>
        <v>0</v>
      </c>
      <c r="X7" s="92">
        <f t="shared" ref="X7:X30" si="17">F7*24*60</f>
        <v>510</v>
      </c>
      <c r="Y7" s="92">
        <f t="shared" ref="Y7:Y30" si="18">W7+G7</f>
        <v>0</v>
      </c>
      <c r="Z7" s="91">
        <f t="shared" ref="Z7:Z30" si="19">SUM(H7:P7)</f>
        <v>3</v>
      </c>
      <c r="AA7" s="93">
        <f t="shared" ref="AA7:AA30" si="20">SUM(S7:T7)</f>
        <v>0</v>
      </c>
      <c r="AB7" s="99">
        <f t="shared" ref="AB7:AB30" si="21">Q7</f>
        <v>1</v>
      </c>
      <c r="AC7" s="54">
        <f t="shared" ref="AC7:AC30" si="22">IF(Y7&gt;4,3,IF(Y7&gt;2,2,IF(Y7&gt;0,1,0)))</f>
        <v>0</v>
      </c>
      <c r="AD7" s="54">
        <f t="shared" ref="AD7:AD30" si="23">IF(X7&lt;300,3,IF(X7&lt;360,2,IF(X7&lt;420,1,0)))</f>
        <v>0</v>
      </c>
      <c r="AE7" s="54">
        <f t="shared" ref="AE7:AE30" si="24">IF(V7&lt;65,3,IF(V7&lt;75,2,IF(V7&lt;85,1,0)))</f>
        <v>0</v>
      </c>
      <c r="AF7" s="54">
        <f t="shared" ref="AF7:AF30" si="25">IF(Z7&gt;18,3,IF(Z7&gt;9,2,IF(Z7&gt;0,1,0)))</f>
        <v>1</v>
      </c>
      <c r="AG7" s="54">
        <f t="shared" ref="AG7:AG30" si="26">R7</f>
        <v>0</v>
      </c>
      <c r="AH7" s="54">
        <f t="shared" ref="AH7:AH30" si="27">IF(AA7&gt;4,3,IF(AA7&gt;2,2,IF(AA7&gt;0,1,0)))</f>
        <v>0</v>
      </c>
      <c r="AI7" s="55">
        <f t="shared" ref="AI7:AI30" si="28">AB7+AC7+AD7+AE7+AF7+AG7+AH7</f>
        <v>2</v>
      </c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113"/>
      <c r="BB7" s="110"/>
      <c r="BC7" s="110"/>
      <c r="BD7" s="110"/>
      <c r="BE7" s="110"/>
      <c r="BF7" s="110"/>
      <c r="BG7" s="110"/>
      <c r="BH7" s="110"/>
      <c r="BI7" s="113"/>
      <c r="BJ7" s="110"/>
      <c r="BK7" s="110"/>
      <c r="BL7" s="110"/>
      <c r="BM7" s="110"/>
      <c r="BN7" s="113"/>
      <c r="BO7" s="110"/>
      <c r="BP7" s="110"/>
      <c r="BQ7" s="110"/>
      <c r="BR7" s="110"/>
      <c r="BS7" s="110"/>
      <c r="BT7" s="110"/>
      <c r="BU7" s="110"/>
      <c r="BV7" s="110"/>
      <c r="BW7" s="110"/>
      <c r="BX7" s="113"/>
      <c r="BY7" s="110"/>
      <c r="BZ7" s="110"/>
      <c r="CA7" s="110"/>
      <c r="CB7" s="110"/>
      <c r="CC7" s="110"/>
      <c r="CD7" s="110"/>
      <c r="CE7" s="110"/>
      <c r="CF7" s="110"/>
      <c r="CG7" s="113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66"/>
      <c r="DA7" s="70"/>
      <c r="DB7" s="2">
        <v>5</v>
      </c>
      <c r="DC7" s="2">
        <v>5</v>
      </c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56"/>
      <c r="DR7" s="57">
        <f t="shared" si="9"/>
        <v>-50</v>
      </c>
      <c r="DS7" s="58">
        <f t="shared" si="0"/>
        <v>-100</v>
      </c>
      <c r="DT7" s="58">
        <f t="shared" si="1"/>
        <v>0</v>
      </c>
      <c r="DU7" s="58">
        <f t="shared" si="2"/>
        <v>-25</v>
      </c>
      <c r="DV7" s="58">
        <f t="shared" si="3"/>
        <v>-20</v>
      </c>
      <c r="DW7" s="58">
        <f t="shared" si="4"/>
        <v>-25</v>
      </c>
      <c r="DX7" s="58">
        <f t="shared" si="5"/>
        <v>-100</v>
      </c>
      <c r="DY7" s="58">
        <f t="shared" si="6"/>
        <v>-20</v>
      </c>
      <c r="DZ7" s="59" t="b">
        <f t="shared" si="7"/>
        <v>0</v>
      </c>
      <c r="EA7" s="60">
        <f t="shared" si="10"/>
        <v>-39</v>
      </c>
      <c r="EB7" s="61">
        <f t="shared" si="11"/>
        <v>-38</v>
      </c>
      <c r="EC7" s="62">
        <f t="shared" si="8"/>
        <v>-42.5</v>
      </c>
      <c r="ED7" s="2">
        <f>B7</f>
        <v>0</v>
      </c>
      <c r="EE7" s="63">
        <v>10</v>
      </c>
      <c r="EF7" s="63">
        <v>5</v>
      </c>
      <c r="EG7" s="63">
        <v>1</v>
      </c>
      <c r="EH7" s="63">
        <v>1</v>
      </c>
      <c r="EI7" s="63">
        <v>6</v>
      </c>
      <c r="EJ7" s="63">
        <v>1</v>
      </c>
      <c r="EK7" s="63">
        <v>1</v>
      </c>
      <c r="EL7" s="63">
        <v>1</v>
      </c>
      <c r="EM7" s="63">
        <v>1</v>
      </c>
      <c r="EN7" s="63">
        <v>1</v>
      </c>
      <c r="EO7" s="63">
        <v>1</v>
      </c>
      <c r="EP7" s="63">
        <v>1</v>
      </c>
      <c r="EQ7" s="63">
        <v>1</v>
      </c>
      <c r="ER7" s="63">
        <v>1</v>
      </c>
      <c r="ES7" s="63">
        <v>1</v>
      </c>
      <c r="ET7" s="63">
        <v>1</v>
      </c>
      <c r="EU7" s="80">
        <f>SUM(EE7:ET7)</f>
        <v>34</v>
      </c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5">
        <f t="shared" si="12"/>
        <v>0</v>
      </c>
      <c r="FH7" s="84">
        <f t="shared" si="13"/>
        <v>-25</v>
      </c>
      <c r="FI7" s="64"/>
      <c r="FJ7" s="8">
        <f>ED7</f>
        <v>0</v>
      </c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8"/>
      <c r="GK7" s="9">
        <f>FK7+FL7</f>
        <v>0</v>
      </c>
      <c r="GL7" s="9">
        <f>FM7+FN7</f>
        <v>0</v>
      </c>
      <c r="GM7" s="9">
        <f>FO7+FP7</f>
        <v>0</v>
      </c>
      <c r="GN7" s="9">
        <f>FQ7+FR7</f>
        <v>0</v>
      </c>
      <c r="GO7" s="9">
        <f>FS7+FT7</f>
        <v>0</v>
      </c>
      <c r="GP7" s="9">
        <f>(2*FU7)+(2*FV7)</f>
        <v>0</v>
      </c>
      <c r="GQ7" s="9">
        <f>(2*FW7)+(2*FX7)</f>
        <v>0</v>
      </c>
      <c r="GR7" s="9">
        <f>(2*FY7)+(2*FZ7)</f>
        <v>0</v>
      </c>
      <c r="GS7" s="9">
        <f>(2*GA7)+(2*GB7)</f>
        <v>0</v>
      </c>
      <c r="GT7" s="9">
        <f>(2*GC7)+(2*GD7)</f>
        <v>0</v>
      </c>
      <c r="GU7" s="9">
        <f>(2*GE7)+(2*GF7)</f>
        <v>0</v>
      </c>
      <c r="GV7" s="9">
        <f>(2*GG7)+(2*GH7)</f>
        <v>0</v>
      </c>
      <c r="GW7" s="9">
        <f>GI7+GJ7</f>
        <v>0</v>
      </c>
      <c r="GX7" s="77">
        <f>GK7+GL7+GM7+GO7+GW7</f>
        <v>0</v>
      </c>
      <c r="GY7" s="77">
        <f>GN7+GP7+GQ7+GR7+GS7+GT7+GU7+GV7</f>
        <v>0</v>
      </c>
      <c r="GZ7" s="77">
        <f>SUM(GK7:GW7)</f>
        <v>0</v>
      </c>
    </row>
    <row r="8" spans="1:208">
      <c r="A8" s="48"/>
      <c r="B8" s="49"/>
      <c r="C8" s="50"/>
      <c r="D8" s="51"/>
      <c r="E8" s="50"/>
      <c r="F8" s="52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90">
        <f t="shared" si="14"/>
        <v>0</v>
      </c>
      <c r="V8" s="91" t="e">
        <f t="shared" si="15"/>
        <v>#DIV/0!</v>
      </c>
      <c r="W8" s="92">
        <f t="shared" si="16"/>
        <v>0</v>
      </c>
      <c r="X8" s="92">
        <f t="shared" si="17"/>
        <v>0</v>
      </c>
      <c r="Y8" s="92">
        <f t="shared" si="18"/>
        <v>0</v>
      </c>
      <c r="Z8" s="91">
        <f t="shared" si="19"/>
        <v>0</v>
      </c>
      <c r="AA8" s="93">
        <f t="shared" si="20"/>
        <v>0</v>
      </c>
      <c r="AB8" s="99">
        <f t="shared" si="21"/>
        <v>0</v>
      </c>
      <c r="AC8" s="54">
        <f t="shared" si="22"/>
        <v>0</v>
      </c>
      <c r="AD8" s="54">
        <f t="shared" si="23"/>
        <v>3</v>
      </c>
      <c r="AE8" s="54" t="e">
        <f t="shared" si="24"/>
        <v>#DIV/0!</v>
      </c>
      <c r="AF8" s="54">
        <f t="shared" si="25"/>
        <v>0</v>
      </c>
      <c r="AG8" s="54">
        <f t="shared" si="26"/>
        <v>0</v>
      </c>
      <c r="AH8" s="54">
        <f t="shared" si="27"/>
        <v>0</v>
      </c>
      <c r="AI8" s="55" t="e">
        <f t="shared" si="28"/>
        <v>#DIV/0!</v>
      </c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113"/>
      <c r="BB8" s="110"/>
      <c r="BC8" s="110"/>
      <c r="BD8" s="110"/>
      <c r="BE8" s="110"/>
      <c r="BF8" s="110"/>
      <c r="BG8" s="110"/>
      <c r="BH8" s="110"/>
      <c r="BI8" s="113"/>
      <c r="BJ8" s="110"/>
      <c r="BK8" s="110"/>
      <c r="BL8" s="110"/>
      <c r="BM8" s="110"/>
      <c r="BN8" s="113"/>
      <c r="BO8" s="110"/>
      <c r="BP8" s="110"/>
      <c r="BQ8" s="110"/>
      <c r="BR8" s="110"/>
      <c r="BS8" s="110"/>
      <c r="BT8" s="110"/>
      <c r="BU8" s="110"/>
      <c r="BV8" s="110"/>
      <c r="BW8" s="110"/>
      <c r="BX8" s="113"/>
      <c r="BY8" s="110"/>
      <c r="BZ8" s="110"/>
      <c r="CA8" s="110"/>
      <c r="CB8" s="110"/>
      <c r="CC8" s="110"/>
      <c r="CD8" s="110"/>
      <c r="CE8" s="110"/>
      <c r="CF8" s="110"/>
      <c r="CG8" s="113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66"/>
      <c r="DA8" s="70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56"/>
      <c r="DR8" s="57">
        <f t="shared" ref="DR8:DR30" si="29">(((SUM(CJ8:CS8))-10)/20)*100</f>
        <v>-50</v>
      </c>
      <c r="DS8" s="58">
        <f t="shared" ref="DS8:DS30" si="30">(((SUM(CT8:CW8))-4)/4)*100</f>
        <v>-100</v>
      </c>
      <c r="DT8" s="58">
        <f t="shared" ref="DT8:DT30" si="31">((((IF(DB8=1,5,IF(DB8=2,4,IF(DB8=3,3,IF(DB8=4,2,IF(DB8=5,1))))))+(IF(DC8=1,5,IF(DC8=2,4,IF(DC8=3,3,IF(DC8=4,2,IF(DC8=5,1))))))-2)/8)*100)</f>
        <v>-25</v>
      </c>
      <c r="DU8" s="58">
        <f t="shared" ref="DU8:DU30" si="32">((((IF(CH8=1,"5.0",IF(CH8=2,"4.4",IF(CH8=3,"3.4",IF(CH8=4,"2.0",IF(CH8=5,"1.0"))))))+DN8+DP8+(IF(DO8=1,"5.0",IF(DO8=2,"4.0",IF(DO8=3,"3.0",IF(DO8=4,"2.0",IF(DO8=5,"1.0"))))))+(IF(DQ8=1,"5.0",IF(DQ8=2,"4.0",IF(DQ8=3,"3.0",IF(DQ8=4,"2.0",IF(DQ8=5,"1.0")))))))-5)/20)*100</f>
        <v>-25</v>
      </c>
      <c r="DV8" s="58">
        <f t="shared" ref="DV8:DV30" si="33">((((IF(DD8=1,"6.0",IF(DD8=2,"5.0",IF(DD8=3,"4.0",IF(DD8=4,"3.0",IF(DD8=5,"2.0",IF(DD8=6,"1.0")))))))+(IF(DH8=1,"6.0",IF(DH8=2,"5.0",IF(DH8=3,"4.0",IF(DH8=4,"3.0",IF(DH8=5,"2.0",IF(DH8=6,"1.0")))))))+DJ8+DL8)-4)/20)*100</f>
        <v>-20</v>
      </c>
      <c r="DW8" s="58">
        <f t="shared" ref="DW8:DW30" si="34">((((IF(DA8=1,"5.0",IF(DA8=2,"4.0",IF(DA8=3,"3.0",IF(DA8=4,"2.0",IF(DA8=5,"1.0"))))))+DM8)-2)/8)*100</f>
        <v>-25</v>
      </c>
      <c r="DX8" s="58">
        <f t="shared" ref="DX8:DX30" si="35">(((CX8+CY8+CZ8)-3)/3)*100</f>
        <v>-100</v>
      </c>
      <c r="DY8" s="58">
        <f t="shared" ref="DY8:DY30" si="36">((((IF(DG8=1,"6.0",IF(DG8=2,"5.0",IF(DG8=3,"4.0",IF(DG8=4,"3.0",IF(DG8=5,"2.0",IF(DG8=6,"1.0")))))))+(IF(DK8=1,"6.0",IF(DK8=2,"5.0",IF(DK8=3,"4.0",IF(DK8=4,"3.0",IF(DK8=5,"2.0",IF(DK8=6,"1.0")))))))+DE8+DF8+DI8)-5)/25)*100</f>
        <v>-20</v>
      </c>
      <c r="DZ8" s="59" t="b">
        <f t="shared" ref="DZ8:DZ30" si="37">IF(CI8=1,"++",IF(CI8=2,"+",IF(CI8=3,"0",IF(CI8=4,"-",IF(CI8=5,"- -")))))</f>
        <v>0</v>
      </c>
      <c r="EA8" s="60">
        <f t="shared" ref="EA8:EA30" si="38">AVERAGE(DR8:DV8)</f>
        <v>-44</v>
      </c>
      <c r="EB8" s="61">
        <f t="shared" ref="EB8:EB30" si="39">AVERAGE(DU8:DY8)</f>
        <v>-38</v>
      </c>
      <c r="EC8" s="62">
        <f t="shared" ref="EC8:EC30" si="40">AVERAGE(DR8:DY8)</f>
        <v>-45.625</v>
      </c>
      <c r="ED8" s="2">
        <f>B8</f>
        <v>0</v>
      </c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80">
        <f>SUM(EE8:ET8)</f>
        <v>0</v>
      </c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5">
        <f t="shared" ref="FG8:FG71" si="41">SUM(EW8:FF8)</f>
        <v>0</v>
      </c>
      <c r="FH8" s="84">
        <f t="shared" ref="FH8:FH71" si="42">((FG8-10)/40)*100</f>
        <v>-25</v>
      </c>
      <c r="FI8" s="64"/>
      <c r="FJ8" s="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8"/>
      <c r="GK8" s="9">
        <f t="shared" ref="GK8:GK71" si="43">FK8+FL8</f>
        <v>0</v>
      </c>
      <c r="GL8" s="9">
        <f t="shared" ref="GL8:GL71" si="44">FM8+FN8</f>
        <v>0</v>
      </c>
      <c r="GM8" s="9">
        <f t="shared" ref="GM8:GM71" si="45">FO8+FP8</f>
        <v>0</v>
      </c>
      <c r="GN8" s="9">
        <f t="shared" ref="GN8:GN71" si="46">FQ8+FR8</f>
        <v>0</v>
      </c>
      <c r="GO8" s="9">
        <f t="shared" ref="GO8:GO71" si="47">FS8+FT8</f>
        <v>0</v>
      </c>
      <c r="GP8" s="9">
        <f t="shared" ref="GP8:GP71" si="48">(2*FU8)+(2*FV8)</f>
        <v>0</v>
      </c>
      <c r="GQ8" s="9">
        <f t="shared" ref="GQ8:GQ71" si="49">(2*FW8)+(2*FX8)</f>
        <v>0</v>
      </c>
      <c r="GR8" s="9">
        <f t="shared" ref="GR8:GR71" si="50">(2*FY8)+(2*FZ8)</f>
        <v>0</v>
      </c>
      <c r="GS8" s="9">
        <f t="shared" ref="GS8:GS71" si="51">(2*GA8)+(2*GB8)</f>
        <v>0</v>
      </c>
      <c r="GT8" s="9">
        <f t="shared" ref="GT8:GT71" si="52">(2*GC8)+(2*GD8)</f>
        <v>0</v>
      </c>
      <c r="GU8" s="9">
        <f t="shared" ref="GU8:GU71" si="53">(2*GE8)+(2*GF8)</f>
        <v>0</v>
      </c>
      <c r="GV8" s="9">
        <f t="shared" ref="GV8:GV71" si="54">(2*GG8)+(2*GH8)</f>
        <v>0</v>
      </c>
      <c r="GW8" s="9">
        <f t="shared" ref="GW8:GW71" si="55">GI8+GJ8</f>
        <v>0</v>
      </c>
      <c r="GX8" s="77">
        <f t="shared" ref="GX8:GX71" si="56">GK8+GL8+GM8+GO8+GW8</f>
        <v>0</v>
      </c>
      <c r="GY8" s="77">
        <f t="shared" ref="GY8:GY71" si="57">GN8+GP8+GQ8+GR8+GS8+GT8+GU8+GV8</f>
        <v>0</v>
      </c>
      <c r="GZ8" s="77">
        <f t="shared" ref="GZ8:GZ71" si="58">SUM(GK8:GW8)</f>
        <v>0</v>
      </c>
    </row>
    <row r="9" spans="1:208">
      <c r="A9" s="48"/>
      <c r="B9" s="49"/>
      <c r="C9" s="50"/>
      <c r="D9" s="51"/>
      <c r="E9" s="50"/>
      <c r="F9" s="5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90">
        <f t="shared" si="14"/>
        <v>0</v>
      </c>
      <c r="V9" s="91" t="e">
        <f t="shared" si="15"/>
        <v>#DIV/0!</v>
      </c>
      <c r="W9" s="92">
        <f t="shared" si="16"/>
        <v>0</v>
      </c>
      <c r="X9" s="92">
        <f t="shared" si="17"/>
        <v>0</v>
      </c>
      <c r="Y9" s="92">
        <f t="shared" si="18"/>
        <v>0</v>
      </c>
      <c r="Z9" s="91">
        <f t="shared" si="19"/>
        <v>0</v>
      </c>
      <c r="AA9" s="93">
        <f t="shared" si="20"/>
        <v>0</v>
      </c>
      <c r="AB9" s="99">
        <f t="shared" si="21"/>
        <v>0</v>
      </c>
      <c r="AC9" s="54">
        <f t="shared" si="22"/>
        <v>0</v>
      </c>
      <c r="AD9" s="54">
        <f t="shared" si="23"/>
        <v>3</v>
      </c>
      <c r="AE9" s="54" t="e">
        <f t="shared" si="24"/>
        <v>#DIV/0!</v>
      </c>
      <c r="AF9" s="54">
        <f t="shared" si="25"/>
        <v>0</v>
      </c>
      <c r="AG9" s="54">
        <f t="shared" si="26"/>
        <v>0</v>
      </c>
      <c r="AH9" s="54">
        <f t="shared" si="27"/>
        <v>0</v>
      </c>
      <c r="AI9" s="55" t="e">
        <f t="shared" si="28"/>
        <v>#DIV/0!</v>
      </c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113"/>
      <c r="BB9" s="110"/>
      <c r="BC9" s="110"/>
      <c r="BD9" s="110"/>
      <c r="BE9" s="110"/>
      <c r="BF9" s="110"/>
      <c r="BG9" s="110"/>
      <c r="BH9" s="110"/>
      <c r="BI9" s="113"/>
      <c r="BJ9" s="110"/>
      <c r="BK9" s="110"/>
      <c r="BL9" s="110"/>
      <c r="BM9" s="110"/>
      <c r="BN9" s="113"/>
      <c r="BO9" s="110"/>
      <c r="BP9" s="110"/>
      <c r="BQ9" s="110"/>
      <c r="BR9" s="110"/>
      <c r="BS9" s="110"/>
      <c r="BT9" s="110"/>
      <c r="BU9" s="110"/>
      <c r="BV9" s="110"/>
      <c r="BW9" s="110"/>
      <c r="BX9" s="113"/>
      <c r="BY9" s="110"/>
      <c r="BZ9" s="110"/>
      <c r="CA9" s="110"/>
      <c r="CB9" s="110"/>
      <c r="CC9" s="110"/>
      <c r="CD9" s="110"/>
      <c r="CE9" s="110"/>
      <c r="CF9" s="110"/>
      <c r="CG9" s="113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66"/>
      <c r="DA9" s="70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56"/>
      <c r="DR9" s="57">
        <f t="shared" si="29"/>
        <v>-50</v>
      </c>
      <c r="DS9" s="58">
        <f t="shared" si="30"/>
        <v>-100</v>
      </c>
      <c r="DT9" s="58">
        <f t="shared" si="31"/>
        <v>-25</v>
      </c>
      <c r="DU9" s="58">
        <f t="shared" si="32"/>
        <v>-25</v>
      </c>
      <c r="DV9" s="58">
        <f t="shared" si="33"/>
        <v>-20</v>
      </c>
      <c r="DW9" s="58">
        <f t="shared" si="34"/>
        <v>-25</v>
      </c>
      <c r="DX9" s="58">
        <f t="shared" si="35"/>
        <v>-100</v>
      </c>
      <c r="DY9" s="58">
        <f t="shared" si="36"/>
        <v>-20</v>
      </c>
      <c r="DZ9" s="59" t="b">
        <f t="shared" si="37"/>
        <v>0</v>
      </c>
      <c r="EA9" s="60">
        <f t="shared" si="38"/>
        <v>-44</v>
      </c>
      <c r="EB9" s="61">
        <f t="shared" si="39"/>
        <v>-38</v>
      </c>
      <c r="EC9" s="62">
        <f t="shared" si="40"/>
        <v>-45.625</v>
      </c>
      <c r="ED9" s="2">
        <f>B9</f>
        <v>0</v>
      </c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80">
        <f t="shared" ref="EU9:EU30" si="59">SUM(EE9:ET9)</f>
        <v>0</v>
      </c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5">
        <f t="shared" si="41"/>
        <v>0</v>
      </c>
      <c r="FH9" s="84">
        <f t="shared" si="42"/>
        <v>-25</v>
      </c>
      <c r="FI9" s="64"/>
      <c r="FJ9" s="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8"/>
      <c r="GK9" s="9">
        <f t="shared" si="43"/>
        <v>0</v>
      </c>
      <c r="GL9" s="9">
        <f t="shared" si="44"/>
        <v>0</v>
      </c>
      <c r="GM9" s="9">
        <f t="shared" si="45"/>
        <v>0</v>
      </c>
      <c r="GN9" s="9">
        <f t="shared" si="46"/>
        <v>0</v>
      </c>
      <c r="GO9" s="9">
        <f t="shared" si="47"/>
        <v>0</v>
      </c>
      <c r="GP9" s="9">
        <f t="shared" si="48"/>
        <v>0</v>
      </c>
      <c r="GQ9" s="9">
        <f t="shared" si="49"/>
        <v>0</v>
      </c>
      <c r="GR9" s="9">
        <f t="shared" si="50"/>
        <v>0</v>
      </c>
      <c r="GS9" s="9">
        <f t="shared" si="51"/>
        <v>0</v>
      </c>
      <c r="GT9" s="9">
        <f t="shared" si="52"/>
        <v>0</v>
      </c>
      <c r="GU9" s="9">
        <f t="shared" si="53"/>
        <v>0</v>
      </c>
      <c r="GV9" s="9">
        <f t="shared" si="54"/>
        <v>0</v>
      </c>
      <c r="GW9" s="9">
        <f t="shared" si="55"/>
        <v>0</v>
      </c>
      <c r="GX9" s="77">
        <f t="shared" si="56"/>
        <v>0</v>
      </c>
      <c r="GY9" s="77">
        <f t="shared" si="57"/>
        <v>0</v>
      </c>
      <c r="GZ9" s="77">
        <f t="shared" si="58"/>
        <v>0</v>
      </c>
    </row>
    <row r="10" spans="1:208">
      <c r="A10" s="48"/>
      <c r="B10" s="49"/>
      <c r="C10" s="50"/>
      <c r="D10" s="51"/>
      <c r="E10" s="50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90">
        <f t="shared" si="14"/>
        <v>0</v>
      </c>
      <c r="V10" s="91" t="e">
        <f t="shared" si="15"/>
        <v>#DIV/0!</v>
      </c>
      <c r="W10" s="92">
        <f t="shared" si="16"/>
        <v>0</v>
      </c>
      <c r="X10" s="92">
        <f t="shared" si="17"/>
        <v>0</v>
      </c>
      <c r="Y10" s="92">
        <f t="shared" si="18"/>
        <v>0</v>
      </c>
      <c r="Z10" s="91">
        <f t="shared" si="19"/>
        <v>0</v>
      </c>
      <c r="AA10" s="93">
        <f t="shared" si="20"/>
        <v>0</v>
      </c>
      <c r="AB10" s="99">
        <f t="shared" si="21"/>
        <v>0</v>
      </c>
      <c r="AC10" s="54">
        <f t="shared" si="22"/>
        <v>0</v>
      </c>
      <c r="AD10" s="54">
        <f t="shared" si="23"/>
        <v>3</v>
      </c>
      <c r="AE10" s="54" t="e">
        <f t="shared" si="24"/>
        <v>#DIV/0!</v>
      </c>
      <c r="AF10" s="54">
        <f t="shared" si="25"/>
        <v>0</v>
      </c>
      <c r="AG10" s="54">
        <f t="shared" si="26"/>
        <v>0</v>
      </c>
      <c r="AH10" s="54">
        <f t="shared" si="27"/>
        <v>0</v>
      </c>
      <c r="AI10" s="55" t="e">
        <f t="shared" si="28"/>
        <v>#DIV/0!</v>
      </c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113"/>
      <c r="BB10" s="110"/>
      <c r="BC10" s="110"/>
      <c r="BD10" s="110"/>
      <c r="BE10" s="110"/>
      <c r="BF10" s="110"/>
      <c r="BG10" s="110"/>
      <c r="BH10" s="110"/>
      <c r="BI10" s="113"/>
      <c r="BJ10" s="110"/>
      <c r="BK10" s="110"/>
      <c r="BL10" s="110"/>
      <c r="BM10" s="110"/>
      <c r="BN10" s="113"/>
      <c r="BO10" s="110"/>
      <c r="BP10" s="110"/>
      <c r="BQ10" s="110"/>
      <c r="BR10" s="110"/>
      <c r="BS10" s="110"/>
      <c r="BT10" s="110"/>
      <c r="BU10" s="110"/>
      <c r="BV10" s="110"/>
      <c r="BW10" s="110"/>
      <c r="BX10" s="113"/>
      <c r="BY10" s="110"/>
      <c r="BZ10" s="110"/>
      <c r="CA10" s="110"/>
      <c r="CB10" s="110"/>
      <c r="CC10" s="110"/>
      <c r="CD10" s="110"/>
      <c r="CE10" s="110"/>
      <c r="CF10" s="110"/>
      <c r="CG10" s="113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66"/>
      <c r="DA10" s="70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56"/>
      <c r="DR10" s="57">
        <f t="shared" si="29"/>
        <v>-50</v>
      </c>
      <c r="DS10" s="58">
        <f t="shared" si="30"/>
        <v>-100</v>
      </c>
      <c r="DT10" s="58">
        <f t="shared" si="31"/>
        <v>-25</v>
      </c>
      <c r="DU10" s="58">
        <f t="shared" si="32"/>
        <v>-25</v>
      </c>
      <c r="DV10" s="58">
        <f t="shared" si="33"/>
        <v>-20</v>
      </c>
      <c r="DW10" s="58">
        <f t="shared" si="34"/>
        <v>-25</v>
      </c>
      <c r="DX10" s="58">
        <f t="shared" si="35"/>
        <v>-100</v>
      </c>
      <c r="DY10" s="58">
        <f t="shared" si="36"/>
        <v>-20</v>
      </c>
      <c r="DZ10" s="59" t="b">
        <f t="shared" si="37"/>
        <v>0</v>
      </c>
      <c r="EA10" s="60">
        <f t="shared" si="38"/>
        <v>-44</v>
      </c>
      <c r="EB10" s="61">
        <f t="shared" si="39"/>
        <v>-38</v>
      </c>
      <c r="EC10" s="62">
        <f t="shared" si="40"/>
        <v>-45.625</v>
      </c>
      <c r="ED10" s="2">
        <f>B10</f>
        <v>0</v>
      </c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80">
        <f t="shared" si="59"/>
        <v>0</v>
      </c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5">
        <f t="shared" si="41"/>
        <v>0</v>
      </c>
      <c r="FH10" s="84">
        <f t="shared" si="42"/>
        <v>-25</v>
      </c>
      <c r="FI10" s="64"/>
      <c r="FJ10" s="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8"/>
      <c r="GK10" s="9">
        <f t="shared" si="43"/>
        <v>0</v>
      </c>
      <c r="GL10" s="9">
        <f t="shared" si="44"/>
        <v>0</v>
      </c>
      <c r="GM10" s="9">
        <f t="shared" si="45"/>
        <v>0</v>
      </c>
      <c r="GN10" s="9">
        <f t="shared" si="46"/>
        <v>0</v>
      </c>
      <c r="GO10" s="9">
        <f t="shared" si="47"/>
        <v>0</v>
      </c>
      <c r="GP10" s="9">
        <f t="shared" si="48"/>
        <v>0</v>
      </c>
      <c r="GQ10" s="9">
        <f t="shared" si="49"/>
        <v>0</v>
      </c>
      <c r="GR10" s="9">
        <f t="shared" si="50"/>
        <v>0</v>
      </c>
      <c r="GS10" s="9">
        <f t="shared" si="51"/>
        <v>0</v>
      </c>
      <c r="GT10" s="9">
        <f t="shared" si="52"/>
        <v>0</v>
      </c>
      <c r="GU10" s="9">
        <f t="shared" si="53"/>
        <v>0</v>
      </c>
      <c r="GV10" s="9">
        <f t="shared" si="54"/>
        <v>0</v>
      </c>
      <c r="GW10" s="9">
        <f t="shared" si="55"/>
        <v>0</v>
      </c>
      <c r="GX10" s="77">
        <f t="shared" si="56"/>
        <v>0</v>
      </c>
      <c r="GY10" s="77">
        <f t="shared" si="57"/>
        <v>0</v>
      </c>
      <c r="GZ10" s="77">
        <f t="shared" si="58"/>
        <v>0</v>
      </c>
    </row>
    <row r="11" spans="1:208">
      <c r="A11" s="48"/>
      <c r="B11" s="49"/>
      <c r="C11" s="50"/>
      <c r="D11" s="51"/>
      <c r="E11" s="50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90">
        <f t="shared" si="14"/>
        <v>0</v>
      </c>
      <c r="V11" s="91" t="e">
        <f t="shared" si="15"/>
        <v>#DIV/0!</v>
      </c>
      <c r="W11" s="92">
        <f t="shared" si="16"/>
        <v>0</v>
      </c>
      <c r="X11" s="92">
        <f t="shared" si="17"/>
        <v>0</v>
      </c>
      <c r="Y11" s="92">
        <f t="shared" si="18"/>
        <v>0</v>
      </c>
      <c r="Z11" s="91">
        <f t="shared" si="19"/>
        <v>0</v>
      </c>
      <c r="AA11" s="93">
        <f t="shared" si="20"/>
        <v>0</v>
      </c>
      <c r="AB11" s="99">
        <f t="shared" si="21"/>
        <v>0</v>
      </c>
      <c r="AC11" s="54">
        <f t="shared" si="22"/>
        <v>0</v>
      </c>
      <c r="AD11" s="54">
        <f t="shared" si="23"/>
        <v>3</v>
      </c>
      <c r="AE11" s="54" t="e">
        <f t="shared" si="24"/>
        <v>#DIV/0!</v>
      </c>
      <c r="AF11" s="54">
        <f t="shared" si="25"/>
        <v>0</v>
      </c>
      <c r="AG11" s="54">
        <f t="shared" si="26"/>
        <v>0</v>
      </c>
      <c r="AH11" s="54">
        <f t="shared" si="27"/>
        <v>0</v>
      </c>
      <c r="AI11" s="55" t="e">
        <f t="shared" si="28"/>
        <v>#DIV/0!</v>
      </c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113"/>
      <c r="BB11" s="110"/>
      <c r="BC11" s="110"/>
      <c r="BD11" s="110"/>
      <c r="BE11" s="110"/>
      <c r="BF11" s="110"/>
      <c r="BG11" s="110"/>
      <c r="BH11" s="110"/>
      <c r="BI11" s="113"/>
      <c r="BJ11" s="110"/>
      <c r="BK11" s="110"/>
      <c r="BL11" s="110"/>
      <c r="BM11" s="110"/>
      <c r="BN11" s="113"/>
      <c r="BO11" s="110"/>
      <c r="BP11" s="110"/>
      <c r="BQ11" s="110"/>
      <c r="BR11" s="110"/>
      <c r="BS11" s="110"/>
      <c r="BT11" s="110"/>
      <c r="BU11" s="110"/>
      <c r="BV11" s="110"/>
      <c r="BW11" s="110"/>
      <c r="BX11" s="113"/>
      <c r="BY11" s="110"/>
      <c r="BZ11" s="110"/>
      <c r="CA11" s="110"/>
      <c r="CB11" s="110"/>
      <c r="CC11" s="110"/>
      <c r="CD11" s="110"/>
      <c r="CE11" s="110"/>
      <c r="CF11" s="110"/>
      <c r="CG11" s="113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66"/>
      <c r="DA11" s="70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56"/>
      <c r="DR11" s="57">
        <f t="shared" si="29"/>
        <v>-50</v>
      </c>
      <c r="DS11" s="58">
        <f t="shared" si="30"/>
        <v>-100</v>
      </c>
      <c r="DT11" s="58">
        <f t="shared" si="31"/>
        <v>-25</v>
      </c>
      <c r="DU11" s="58">
        <f t="shared" si="32"/>
        <v>-25</v>
      </c>
      <c r="DV11" s="58">
        <f t="shared" si="33"/>
        <v>-20</v>
      </c>
      <c r="DW11" s="58">
        <f t="shared" si="34"/>
        <v>-25</v>
      </c>
      <c r="DX11" s="58">
        <f t="shared" si="35"/>
        <v>-100</v>
      </c>
      <c r="DY11" s="58">
        <f t="shared" si="36"/>
        <v>-20</v>
      </c>
      <c r="DZ11" s="59" t="b">
        <f t="shared" si="37"/>
        <v>0</v>
      </c>
      <c r="EA11" s="60">
        <f t="shared" si="38"/>
        <v>-44</v>
      </c>
      <c r="EB11" s="61">
        <f t="shared" si="39"/>
        <v>-38</v>
      </c>
      <c r="EC11" s="62">
        <f t="shared" si="40"/>
        <v>-45.625</v>
      </c>
      <c r="ED11" s="2">
        <f>B11</f>
        <v>0</v>
      </c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80">
        <f t="shared" si="59"/>
        <v>0</v>
      </c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5">
        <f t="shared" si="41"/>
        <v>0</v>
      </c>
      <c r="FH11" s="84">
        <f t="shared" si="42"/>
        <v>-25</v>
      </c>
      <c r="FI11" s="64"/>
      <c r="FJ11" s="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8"/>
      <c r="GK11" s="9">
        <f t="shared" si="43"/>
        <v>0</v>
      </c>
      <c r="GL11" s="9">
        <f t="shared" si="44"/>
        <v>0</v>
      </c>
      <c r="GM11" s="9">
        <f t="shared" si="45"/>
        <v>0</v>
      </c>
      <c r="GN11" s="9">
        <f t="shared" si="46"/>
        <v>0</v>
      </c>
      <c r="GO11" s="9">
        <f t="shared" si="47"/>
        <v>0</v>
      </c>
      <c r="GP11" s="9">
        <f t="shared" si="48"/>
        <v>0</v>
      </c>
      <c r="GQ11" s="9">
        <f t="shared" si="49"/>
        <v>0</v>
      </c>
      <c r="GR11" s="9">
        <f t="shared" si="50"/>
        <v>0</v>
      </c>
      <c r="GS11" s="9">
        <f t="shared" si="51"/>
        <v>0</v>
      </c>
      <c r="GT11" s="9">
        <f t="shared" si="52"/>
        <v>0</v>
      </c>
      <c r="GU11" s="9">
        <f t="shared" si="53"/>
        <v>0</v>
      </c>
      <c r="GV11" s="9">
        <f t="shared" si="54"/>
        <v>0</v>
      </c>
      <c r="GW11" s="9">
        <f t="shared" si="55"/>
        <v>0</v>
      </c>
      <c r="GX11" s="77">
        <f t="shared" si="56"/>
        <v>0</v>
      </c>
      <c r="GY11" s="77">
        <f t="shared" si="57"/>
        <v>0</v>
      </c>
      <c r="GZ11" s="77">
        <f t="shared" si="58"/>
        <v>0</v>
      </c>
    </row>
    <row r="12" spans="1:208">
      <c r="A12" s="48"/>
      <c r="B12" s="49"/>
      <c r="C12" s="50"/>
      <c r="D12" s="51"/>
      <c r="E12" s="50"/>
      <c r="F12" s="5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90">
        <f t="shared" si="14"/>
        <v>0</v>
      </c>
      <c r="V12" s="91" t="e">
        <f t="shared" si="15"/>
        <v>#DIV/0!</v>
      </c>
      <c r="W12" s="92">
        <f t="shared" si="16"/>
        <v>0</v>
      </c>
      <c r="X12" s="92">
        <f t="shared" si="17"/>
        <v>0</v>
      </c>
      <c r="Y12" s="92">
        <f t="shared" si="18"/>
        <v>0</v>
      </c>
      <c r="Z12" s="91">
        <f t="shared" si="19"/>
        <v>0</v>
      </c>
      <c r="AA12" s="93">
        <f t="shared" si="20"/>
        <v>0</v>
      </c>
      <c r="AB12" s="99">
        <f t="shared" si="21"/>
        <v>0</v>
      </c>
      <c r="AC12" s="54">
        <f t="shared" si="22"/>
        <v>0</v>
      </c>
      <c r="AD12" s="54">
        <f t="shared" si="23"/>
        <v>3</v>
      </c>
      <c r="AE12" s="54" t="e">
        <f t="shared" si="24"/>
        <v>#DIV/0!</v>
      </c>
      <c r="AF12" s="54">
        <f t="shared" si="25"/>
        <v>0</v>
      </c>
      <c r="AG12" s="54">
        <f t="shared" si="26"/>
        <v>0</v>
      </c>
      <c r="AH12" s="54">
        <f t="shared" si="27"/>
        <v>0</v>
      </c>
      <c r="AI12" s="55" t="e">
        <f t="shared" si="28"/>
        <v>#DIV/0!</v>
      </c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113"/>
      <c r="BB12" s="110"/>
      <c r="BC12" s="110"/>
      <c r="BD12" s="110"/>
      <c r="BE12" s="110"/>
      <c r="BF12" s="110"/>
      <c r="BG12" s="110"/>
      <c r="BH12" s="110"/>
      <c r="BI12" s="113"/>
      <c r="BJ12" s="110"/>
      <c r="BK12" s="110"/>
      <c r="BL12" s="110"/>
      <c r="BM12" s="110"/>
      <c r="BN12" s="113"/>
      <c r="BO12" s="110"/>
      <c r="BP12" s="110"/>
      <c r="BQ12" s="110"/>
      <c r="BR12" s="110"/>
      <c r="BS12" s="110"/>
      <c r="BT12" s="110"/>
      <c r="BU12" s="110"/>
      <c r="BV12" s="110"/>
      <c r="BW12" s="110"/>
      <c r="BX12" s="113"/>
      <c r="BY12" s="110"/>
      <c r="BZ12" s="110"/>
      <c r="CA12" s="110"/>
      <c r="CB12" s="110"/>
      <c r="CC12" s="110"/>
      <c r="CD12" s="110"/>
      <c r="CE12" s="110"/>
      <c r="CF12" s="110"/>
      <c r="CG12" s="113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66"/>
      <c r="DA12" s="70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56"/>
      <c r="DR12" s="57">
        <f t="shared" si="29"/>
        <v>-50</v>
      </c>
      <c r="DS12" s="58">
        <f t="shared" si="30"/>
        <v>-100</v>
      </c>
      <c r="DT12" s="58">
        <f t="shared" si="31"/>
        <v>-25</v>
      </c>
      <c r="DU12" s="58">
        <f t="shared" si="32"/>
        <v>-25</v>
      </c>
      <c r="DV12" s="58">
        <f t="shared" si="33"/>
        <v>-20</v>
      </c>
      <c r="DW12" s="58">
        <f t="shared" si="34"/>
        <v>-25</v>
      </c>
      <c r="DX12" s="58">
        <f t="shared" si="35"/>
        <v>-100</v>
      </c>
      <c r="DY12" s="58">
        <f t="shared" si="36"/>
        <v>-20</v>
      </c>
      <c r="DZ12" s="59" t="b">
        <f t="shared" si="37"/>
        <v>0</v>
      </c>
      <c r="EA12" s="60">
        <f t="shared" si="38"/>
        <v>-44</v>
      </c>
      <c r="EB12" s="61">
        <f t="shared" si="39"/>
        <v>-38</v>
      </c>
      <c r="EC12" s="62">
        <f t="shared" si="40"/>
        <v>-45.625</v>
      </c>
      <c r="ED12" s="2">
        <f>B12</f>
        <v>0</v>
      </c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80">
        <f t="shared" si="59"/>
        <v>0</v>
      </c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5">
        <f t="shared" si="41"/>
        <v>0</v>
      </c>
      <c r="FH12" s="84">
        <f t="shared" si="42"/>
        <v>-25</v>
      </c>
      <c r="FI12" s="64"/>
      <c r="FJ12" s="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8"/>
      <c r="GK12" s="9">
        <f t="shared" si="43"/>
        <v>0</v>
      </c>
      <c r="GL12" s="9">
        <f t="shared" si="44"/>
        <v>0</v>
      </c>
      <c r="GM12" s="9">
        <f t="shared" si="45"/>
        <v>0</v>
      </c>
      <c r="GN12" s="9">
        <f t="shared" si="46"/>
        <v>0</v>
      </c>
      <c r="GO12" s="9">
        <f t="shared" si="47"/>
        <v>0</v>
      </c>
      <c r="GP12" s="9">
        <f t="shared" si="48"/>
        <v>0</v>
      </c>
      <c r="GQ12" s="9">
        <f t="shared" si="49"/>
        <v>0</v>
      </c>
      <c r="GR12" s="9">
        <f t="shared" si="50"/>
        <v>0</v>
      </c>
      <c r="GS12" s="9">
        <f t="shared" si="51"/>
        <v>0</v>
      </c>
      <c r="GT12" s="9">
        <f t="shared" si="52"/>
        <v>0</v>
      </c>
      <c r="GU12" s="9">
        <f t="shared" si="53"/>
        <v>0</v>
      </c>
      <c r="GV12" s="9">
        <f t="shared" si="54"/>
        <v>0</v>
      </c>
      <c r="GW12" s="9">
        <f t="shared" si="55"/>
        <v>0</v>
      </c>
      <c r="GX12" s="77">
        <f t="shared" si="56"/>
        <v>0</v>
      </c>
      <c r="GY12" s="77">
        <f t="shared" si="57"/>
        <v>0</v>
      </c>
      <c r="GZ12" s="77">
        <f t="shared" si="58"/>
        <v>0</v>
      </c>
    </row>
    <row r="13" spans="1:208">
      <c r="A13" s="48"/>
      <c r="B13" s="49"/>
      <c r="C13" s="50"/>
      <c r="D13" s="51"/>
      <c r="E13" s="50"/>
      <c r="F13" s="5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90">
        <f t="shared" si="14"/>
        <v>0</v>
      </c>
      <c r="V13" s="91" t="e">
        <f t="shared" si="15"/>
        <v>#DIV/0!</v>
      </c>
      <c r="W13" s="92">
        <f t="shared" si="16"/>
        <v>0</v>
      </c>
      <c r="X13" s="92">
        <f t="shared" si="17"/>
        <v>0</v>
      </c>
      <c r="Y13" s="92">
        <f t="shared" si="18"/>
        <v>0</v>
      </c>
      <c r="Z13" s="91">
        <f t="shared" si="19"/>
        <v>0</v>
      </c>
      <c r="AA13" s="93">
        <f t="shared" si="20"/>
        <v>0</v>
      </c>
      <c r="AB13" s="99">
        <f t="shared" si="21"/>
        <v>0</v>
      </c>
      <c r="AC13" s="54">
        <f t="shared" si="22"/>
        <v>0</v>
      </c>
      <c r="AD13" s="54">
        <f t="shared" si="23"/>
        <v>3</v>
      </c>
      <c r="AE13" s="54" t="e">
        <f t="shared" si="24"/>
        <v>#DIV/0!</v>
      </c>
      <c r="AF13" s="54">
        <f t="shared" si="25"/>
        <v>0</v>
      </c>
      <c r="AG13" s="54">
        <f t="shared" si="26"/>
        <v>0</v>
      </c>
      <c r="AH13" s="54">
        <f t="shared" si="27"/>
        <v>0</v>
      </c>
      <c r="AI13" s="55" t="e">
        <f t="shared" si="28"/>
        <v>#DIV/0!</v>
      </c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113"/>
      <c r="BB13" s="110"/>
      <c r="BC13" s="110"/>
      <c r="BD13" s="110"/>
      <c r="BE13" s="110"/>
      <c r="BF13" s="110"/>
      <c r="BG13" s="110"/>
      <c r="BH13" s="110"/>
      <c r="BI13" s="113"/>
      <c r="BJ13" s="110"/>
      <c r="BK13" s="110"/>
      <c r="BL13" s="110"/>
      <c r="BM13" s="110"/>
      <c r="BN13" s="113"/>
      <c r="BO13" s="110"/>
      <c r="BP13" s="110"/>
      <c r="BQ13" s="110"/>
      <c r="BR13" s="110"/>
      <c r="BS13" s="110"/>
      <c r="BT13" s="110"/>
      <c r="BU13" s="110"/>
      <c r="BV13" s="110"/>
      <c r="BW13" s="110"/>
      <c r="BX13" s="113"/>
      <c r="BY13" s="110"/>
      <c r="BZ13" s="110"/>
      <c r="CA13" s="110"/>
      <c r="CB13" s="110"/>
      <c r="CC13" s="110"/>
      <c r="CD13" s="110"/>
      <c r="CE13" s="110"/>
      <c r="CF13" s="110"/>
      <c r="CG13" s="113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66"/>
      <c r="DA13" s="70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56"/>
      <c r="DR13" s="57">
        <f t="shared" si="29"/>
        <v>-50</v>
      </c>
      <c r="DS13" s="58">
        <f t="shared" si="30"/>
        <v>-100</v>
      </c>
      <c r="DT13" s="58">
        <f t="shared" si="31"/>
        <v>-25</v>
      </c>
      <c r="DU13" s="58">
        <f t="shared" si="32"/>
        <v>-25</v>
      </c>
      <c r="DV13" s="58">
        <f t="shared" si="33"/>
        <v>-20</v>
      </c>
      <c r="DW13" s="58">
        <f t="shared" si="34"/>
        <v>-25</v>
      </c>
      <c r="DX13" s="58">
        <f t="shared" si="35"/>
        <v>-100</v>
      </c>
      <c r="DY13" s="58">
        <f t="shared" si="36"/>
        <v>-20</v>
      </c>
      <c r="DZ13" s="59" t="b">
        <f t="shared" si="37"/>
        <v>0</v>
      </c>
      <c r="EA13" s="60">
        <f t="shared" si="38"/>
        <v>-44</v>
      </c>
      <c r="EB13" s="61">
        <f t="shared" si="39"/>
        <v>-38</v>
      </c>
      <c r="EC13" s="62">
        <f t="shared" si="40"/>
        <v>-45.625</v>
      </c>
      <c r="ED13" s="2">
        <f>B13</f>
        <v>0</v>
      </c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80">
        <f t="shared" si="59"/>
        <v>0</v>
      </c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5">
        <f t="shared" si="41"/>
        <v>0</v>
      </c>
      <c r="FH13" s="84">
        <f t="shared" si="42"/>
        <v>-25</v>
      </c>
      <c r="FI13" s="64"/>
      <c r="FJ13" s="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8"/>
      <c r="GK13" s="9">
        <f t="shared" si="43"/>
        <v>0</v>
      </c>
      <c r="GL13" s="9">
        <f t="shared" si="44"/>
        <v>0</v>
      </c>
      <c r="GM13" s="9">
        <f t="shared" si="45"/>
        <v>0</v>
      </c>
      <c r="GN13" s="9">
        <f t="shared" si="46"/>
        <v>0</v>
      </c>
      <c r="GO13" s="9">
        <f t="shared" si="47"/>
        <v>0</v>
      </c>
      <c r="GP13" s="9">
        <f t="shared" si="48"/>
        <v>0</v>
      </c>
      <c r="GQ13" s="9">
        <f t="shared" si="49"/>
        <v>0</v>
      </c>
      <c r="GR13" s="9">
        <f t="shared" si="50"/>
        <v>0</v>
      </c>
      <c r="GS13" s="9">
        <f t="shared" si="51"/>
        <v>0</v>
      </c>
      <c r="GT13" s="9">
        <f t="shared" si="52"/>
        <v>0</v>
      </c>
      <c r="GU13" s="9">
        <f t="shared" si="53"/>
        <v>0</v>
      </c>
      <c r="GV13" s="9">
        <f t="shared" si="54"/>
        <v>0</v>
      </c>
      <c r="GW13" s="9">
        <f t="shared" si="55"/>
        <v>0</v>
      </c>
      <c r="GX13" s="77">
        <f t="shared" si="56"/>
        <v>0</v>
      </c>
      <c r="GY13" s="77">
        <f t="shared" si="57"/>
        <v>0</v>
      </c>
      <c r="GZ13" s="77">
        <f t="shared" si="58"/>
        <v>0</v>
      </c>
    </row>
    <row r="14" spans="1:208">
      <c r="A14" s="48"/>
      <c r="B14" s="49"/>
      <c r="C14" s="50"/>
      <c r="D14" s="51"/>
      <c r="E14" s="50"/>
      <c r="F14" s="52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90">
        <f t="shared" si="14"/>
        <v>0</v>
      </c>
      <c r="V14" s="91" t="e">
        <f t="shared" si="15"/>
        <v>#DIV/0!</v>
      </c>
      <c r="W14" s="92">
        <f t="shared" si="16"/>
        <v>0</v>
      </c>
      <c r="X14" s="92">
        <f t="shared" si="17"/>
        <v>0</v>
      </c>
      <c r="Y14" s="92">
        <f t="shared" si="18"/>
        <v>0</v>
      </c>
      <c r="Z14" s="91">
        <f t="shared" si="19"/>
        <v>0</v>
      </c>
      <c r="AA14" s="93">
        <f t="shared" si="20"/>
        <v>0</v>
      </c>
      <c r="AB14" s="99">
        <f t="shared" si="21"/>
        <v>0</v>
      </c>
      <c r="AC14" s="54">
        <f t="shared" si="22"/>
        <v>0</v>
      </c>
      <c r="AD14" s="54">
        <f t="shared" si="23"/>
        <v>3</v>
      </c>
      <c r="AE14" s="54" t="e">
        <f t="shared" si="24"/>
        <v>#DIV/0!</v>
      </c>
      <c r="AF14" s="54">
        <f t="shared" si="25"/>
        <v>0</v>
      </c>
      <c r="AG14" s="54">
        <f t="shared" si="26"/>
        <v>0</v>
      </c>
      <c r="AH14" s="54">
        <f t="shared" si="27"/>
        <v>0</v>
      </c>
      <c r="AI14" s="55" t="e">
        <f t="shared" si="28"/>
        <v>#DIV/0!</v>
      </c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113"/>
      <c r="BB14" s="110"/>
      <c r="BC14" s="110"/>
      <c r="BD14" s="110"/>
      <c r="BE14" s="110"/>
      <c r="BF14" s="110"/>
      <c r="BG14" s="110"/>
      <c r="BH14" s="110"/>
      <c r="BI14" s="113"/>
      <c r="BJ14" s="110"/>
      <c r="BK14" s="110"/>
      <c r="BL14" s="110"/>
      <c r="BM14" s="110"/>
      <c r="BN14" s="113"/>
      <c r="BO14" s="110"/>
      <c r="BP14" s="110"/>
      <c r="BQ14" s="110"/>
      <c r="BR14" s="110"/>
      <c r="BS14" s="110"/>
      <c r="BT14" s="110"/>
      <c r="BU14" s="110"/>
      <c r="BV14" s="110"/>
      <c r="BW14" s="110"/>
      <c r="BX14" s="113"/>
      <c r="BY14" s="110"/>
      <c r="BZ14" s="110"/>
      <c r="CA14" s="110"/>
      <c r="CB14" s="110"/>
      <c r="CC14" s="110"/>
      <c r="CD14" s="110"/>
      <c r="CE14" s="110"/>
      <c r="CF14" s="110"/>
      <c r="CG14" s="113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66"/>
      <c r="DA14" s="70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56"/>
      <c r="DR14" s="57">
        <f t="shared" si="29"/>
        <v>-50</v>
      </c>
      <c r="DS14" s="58">
        <f t="shared" si="30"/>
        <v>-100</v>
      </c>
      <c r="DT14" s="58">
        <f t="shared" si="31"/>
        <v>-25</v>
      </c>
      <c r="DU14" s="58">
        <f t="shared" si="32"/>
        <v>-25</v>
      </c>
      <c r="DV14" s="58">
        <f t="shared" si="33"/>
        <v>-20</v>
      </c>
      <c r="DW14" s="58">
        <f t="shared" si="34"/>
        <v>-25</v>
      </c>
      <c r="DX14" s="58">
        <f t="shared" si="35"/>
        <v>-100</v>
      </c>
      <c r="DY14" s="58">
        <f t="shared" si="36"/>
        <v>-20</v>
      </c>
      <c r="DZ14" s="59" t="b">
        <f t="shared" si="37"/>
        <v>0</v>
      </c>
      <c r="EA14" s="60">
        <f t="shared" si="38"/>
        <v>-44</v>
      </c>
      <c r="EB14" s="61">
        <f t="shared" si="39"/>
        <v>-38</v>
      </c>
      <c r="EC14" s="62">
        <f t="shared" si="40"/>
        <v>-45.625</v>
      </c>
      <c r="ED14" s="2">
        <f>B14</f>
        <v>0</v>
      </c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80">
        <f t="shared" si="59"/>
        <v>0</v>
      </c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5">
        <f t="shared" si="41"/>
        <v>0</v>
      </c>
      <c r="FH14" s="84">
        <f t="shared" si="42"/>
        <v>-25</v>
      </c>
      <c r="FI14" s="64"/>
      <c r="FJ14" s="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8"/>
      <c r="GK14" s="9">
        <f t="shared" si="43"/>
        <v>0</v>
      </c>
      <c r="GL14" s="9">
        <f t="shared" si="44"/>
        <v>0</v>
      </c>
      <c r="GM14" s="9">
        <f t="shared" si="45"/>
        <v>0</v>
      </c>
      <c r="GN14" s="9">
        <f t="shared" si="46"/>
        <v>0</v>
      </c>
      <c r="GO14" s="9">
        <f t="shared" si="47"/>
        <v>0</v>
      </c>
      <c r="GP14" s="9">
        <f t="shared" si="48"/>
        <v>0</v>
      </c>
      <c r="GQ14" s="9">
        <f t="shared" si="49"/>
        <v>0</v>
      </c>
      <c r="GR14" s="9">
        <f t="shared" si="50"/>
        <v>0</v>
      </c>
      <c r="GS14" s="9">
        <f t="shared" si="51"/>
        <v>0</v>
      </c>
      <c r="GT14" s="9">
        <f t="shared" si="52"/>
        <v>0</v>
      </c>
      <c r="GU14" s="9">
        <f t="shared" si="53"/>
        <v>0</v>
      </c>
      <c r="GV14" s="9">
        <f t="shared" si="54"/>
        <v>0</v>
      </c>
      <c r="GW14" s="9">
        <f t="shared" si="55"/>
        <v>0</v>
      </c>
      <c r="GX14" s="77">
        <f t="shared" si="56"/>
        <v>0</v>
      </c>
      <c r="GY14" s="77">
        <f t="shared" si="57"/>
        <v>0</v>
      </c>
      <c r="GZ14" s="77">
        <f t="shared" si="58"/>
        <v>0</v>
      </c>
    </row>
    <row r="15" spans="1:208">
      <c r="A15" s="48"/>
      <c r="B15" s="49"/>
      <c r="C15" s="50"/>
      <c r="D15" s="51"/>
      <c r="E15" s="50"/>
      <c r="F15" s="5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90">
        <f t="shared" si="14"/>
        <v>0</v>
      </c>
      <c r="V15" s="91" t="e">
        <f t="shared" si="15"/>
        <v>#DIV/0!</v>
      </c>
      <c r="W15" s="92">
        <f t="shared" si="16"/>
        <v>0</v>
      </c>
      <c r="X15" s="92">
        <f t="shared" si="17"/>
        <v>0</v>
      </c>
      <c r="Y15" s="92">
        <f t="shared" si="18"/>
        <v>0</v>
      </c>
      <c r="Z15" s="91">
        <f t="shared" si="19"/>
        <v>0</v>
      </c>
      <c r="AA15" s="93">
        <f t="shared" si="20"/>
        <v>0</v>
      </c>
      <c r="AB15" s="99">
        <f t="shared" si="21"/>
        <v>0</v>
      </c>
      <c r="AC15" s="54">
        <f t="shared" si="22"/>
        <v>0</v>
      </c>
      <c r="AD15" s="54">
        <f t="shared" si="23"/>
        <v>3</v>
      </c>
      <c r="AE15" s="54" t="e">
        <f t="shared" si="24"/>
        <v>#DIV/0!</v>
      </c>
      <c r="AF15" s="54">
        <f t="shared" si="25"/>
        <v>0</v>
      </c>
      <c r="AG15" s="54">
        <f t="shared" si="26"/>
        <v>0</v>
      </c>
      <c r="AH15" s="54">
        <f t="shared" si="27"/>
        <v>0</v>
      </c>
      <c r="AI15" s="55" t="e">
        <f t="shared" si="28"/>
        <v>#DIV/0!</v>
      </c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113"/>
      <c r="BB15" s="110"/>
      <c r="BC15" s="110"/>
      <c r="BD15" s="110"/>
      <c r="BE15" s="110"/>
      <c r="BF15" s="110"/>
      <c r="BG15" s="110"/>
      <c r="BH15" s="110"/>
      <c r="BI15" s="113"/>
      <c r="BJ15" s="110"/>
      <c r="BK15" s="110"/>
      <c r="BL15" s="110"/>
      <c r="BM15" s="110"/>
      <c r="BN15" s="113"/>
      <c r="BO15" s="110"/>
      <c r="BP15" s="110"/>
      <c r="BQ15" s="110"/>
      <c r="BR15" s="110"/>
      <c r="BS15" s="110"/>
      <c r="BT15" s="110"/>
      <c r="BU15" s="110"/>
      <c r="BV15" s="110"/>
      <c r="BW15" s="110"/>
      <c r="BX15" s="113"/>
      <c r="BY15" s="110"/>
      <c r="BZ15" s="110"/>
      <c r="CA15" s="110"/>
      <c r="CB15" s="110"/>
      <c r="CC15" s="110"/>
      <c r="CD15" s="110"/>
      <c r="CE15" s="110"/>
      <c r="CF15" s="110"/>
      <c r="CG15" s="113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66"/>
      <c r="DA15" s="70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56"/>
      <c r="DR15" s="57">
        <f t="shared" si="29"/>
        <v>-50</v>
      </c>
      <c r="DS15" s="58">
        <f t="shared" si="30"/>
        <v>-100</v>
      </c>
      <c r="DT15" s="58">
        <f t="shared" si="31"/>
        <v>-25</v>
      </c>
      <c r="DU15" s="58">
        <f t="shared" si="32"/>
        <v>-25</v>
      </c>
      <c r="DV15" s="58">
        <f t="shared" si="33"/>
        <v>-20</v>
      </c>
      <c r="DW15" s="58">
        <f t="shared" si="34"/>
        <v>-25</v>
      </c>
      <c r="DX15" s="58">
        <f t="shared" si="35"/>
        <v>-100</v>
      </c>
      <c r="DY15" s="58">
        <f t="shared" si="36"/>
        <v>-20</v>
      </c>
      <c r="DZ15" s="59" t="b">
        <f t="shared" si="37"/>
        <v>0</v>
      </c>
      <c r="EA15" s="60">
        <f t="shared" si="38"/>
        <v>-44</v>
      </c>
      <c r="EB15" s="61">
        <f t="shared" si="39"/>
        <v>-38</v>
      </c>
      <c r="EC15" s="62">
        <f t="shared" si="40"/>
        <v>-45.625</v>
      </c>
      <c r="ED15" s="2">
        <f>B15</f>
        <v>0</v>
      </c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80">
        <f t="shared" si="59"/>
        <v>0</v>
      </c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5">
        <f t="shared" si="41"/>
        <v>0</v>
      </c>
      <c r="FH15" s="84">
        <f t="shared" si="42"/>
        <v>-25</v>
      </c>
      <c r="FI15" s="64"/>
      <c r="FJ15" s="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8"/>
      <c r="GK15" s="9">
        <f t="shared" si="43"/>
        <v>0</v>
      </c>
      <c r="GL15" s="9">
        <f t="shared" si="44"/>
        <v>0</v>
      </c>
      <c r="GM15" s="9">
        <f t="shared" si="45"/>
        <v>0</v>
      </c>
      <c r="GN15" s="9">
        <f t="shared" si="46"/>
        <v>0</v>
      </c>
      <c r="GO15" s="9">
        <f t="shared" si="47"/>
        <v>0</v>
      </c>
      <c r="GP15" s="9">
        <f t="shared" si="48"/>
        <v>0</v>
      </c>
      <c r="GQ15" s="9">
        <f t="shared" si="49"/>
        <v>0</v>
      </c>
      <c r="GR15" s="9">
        <f t="shared" si="50"/>
        <v>0</v>
      </c>
      <c r="GS15" s="9">
        <f t="shared" si="51"/>
        <v>0</v>
      </c>
      <c r="GT15" s="9">
        <f t="shared" si="52"/>
        <v>0</v>
      </c>
      <c r="GU15" s="9">
        <f t="shared" si="53"/>
        <v>0</v>
      </c>
      <c r="GV15" s="9">
        <f t="shared" si="54"/>
        <v>0</v>
      </c>
      <c r="GW15" s="9">
        <f t="shared" si="55"/>
        <v>0</v>
      </c>
      <c r="GX15" s="77">
        <f t="shared" si="56"/>
        <v>0</v>
      </c>
      <c r="GY15" s="77">
        <f t="shared" si="57"/>
        <v>0</v>
      </c>
      <c r="GZ15" s="77">
        <f t="shared" si="58"/>
        <v>0</v>
      </c>
    </row>
    <row r="16" spans="1:208">
      <c r="A16" s="48"/>
      <c r="B16" s="49"/>
      <c r="C16" s="50"/>
      <c r="D16" s="51"/>
      <c r="E16" s="50"/>
      <c r="F16" s="52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90">
        <f t="shared" si="14"/>
        <v>0</v>
      </c>
      <c r="V16" s="91" t="e">
        <f t="shared" si="15"/>
        <v>#DIV/0!</v>
      </c>
      <c r="W16" s="92">
        <f t="shared" si="16"/>
        <v>0</v>
      </c>
      <c r="X16" s="92">
        <f t="shared" si="17"/>
        <v>0</v>
      </c>
      <c r="Y16" s="92">
        <f t="shared" si="18"/>
        <v>0</v>
      </c>
      <c r="Z16" s="91">
        <f t="shared" si="19"/>
        <v>0</v>
      </c>
      <c r="AA16" s="93">
        <f t="shared" si="20"/>
        <v>0</v>
      </c>
      <c r="AB16" s="99">
        <f t="shared" si="21"/>
        <v>0</v>
      </c>
      <c r="AC16" s="54">
        <f t="shared" si="22"/>
        <v>0</v>
      </c>
      <c r="AD16" s="54">
        <f t="shared" si="23"/>
        <v>3</v>
      </c>
      <c r="AE16" s="54" t="e">
        <f t="shared" si="24"/>
        <v>#DIV/0!</v>
      </c>
      <c r="AF16" s="54">
        <f t="shared" si="25"/>
        <v>0</v>
      </c>
      <c r="AG16" s="54">
        <f t="shared" si="26"/>
        <v>0</v>
      </c>
      <c r="AH16" s="54">
        <f t="shared" si="27"/>
        <v>0</v>
      </c>
      <c r="AI16" s="55" t="e">
        <f t="shared" si="28"/>
        <v>#DIV/0!</v>
      </c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113"/>
      <c r="BB16" s="110"/>
      <c r="BC16" s="110"/>
      <c r="BD16" s="110"/>
      <c r="BE16" s="110"/>
      <c r="BF16" s="110"/>
      <c r="BG16" s="110"/>
      <c r="BH16" s="110"/>
      <c r="BI16" s="113"/>
      <c r="BJ16" s="110"/>
      <c r="BK16" s="110"/>
      <c r="BL16" s="110"/>
      <c r="BM16" s="110"/>
      <c r="BN16" s="113"/>
      <c r="BO16" s="110"/>
      <c r="BP16" s="110"/>
      <c r="BQ16" s="110"/>
      <c r="BR16" s="110"/>
      <c r="BS16" s="110"/>
      <c r="BT16" s="110"/>
      <c r="BU16" s="110"/>
      <c r="BV16" s="110"/>
      <c r="BW16" s="110"/>
      <c r="BX16" s="113"/>
      <c r="BY16" s="110"/>
      <c r="BZ16" s="110"/>
      <c r="CA16" s="110"/>
      <c r="CB16" s="110"/>
      <c r="CC16" s="110"/>
      <c r="CD16" s="110"/>
      <c r="CE16" s="110"/>
      <c r="CF16" s="110"/>
      <c r="CG16" s="113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66"/>
      <c r="DA16" s="70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56"/>
      <c r="DR16" s="57">
        <f t="shared" si="29"/>
        <v>-50</v>
      </c>
      <c r="DS16" s="58">
        <f t="shared" si="30"/>
        <v>-100</v>
      </c>
      <c r="DT16" s="58">
        <f t="shared" si="31"/>
        <v>-25</v>
      </c>
      <c r="DU16" s="58">
        <f t="shared" si="32"/>
        <v>-25</v>
      </c>
      <c r="DV16" s="58">
        <f t="shared" si="33"/>
        <v>-20</v>
      </c>
      <c r="DW16" s="58">
        <f t="shared" si="34"/>
        <v>-25</v>
      </c>
      <c r="DX16" s="58">
        <f t="shared" si="35"/>
        <v>-100</v>
      </c>
      <c r="DY16" s="58">
        <f t="shared" si="36"/>
        <v>-20</v>
      </c>
      <c r="DZ16" s="59" t="b">
        <f t="shared" si="37"/>
        <v>0</v>
      </c>
      <c r="EA16" s="60">
        <f t="shared" si="38"/>
        <v>-44</v>
      </c>
      <c r="EB16" s="61">
        <f t="shared" si="39"/>
        <v>-38</v>
      </c>
      <c r="EC16" s="62">
        <f t="shared" si="40"/>
        <v>-45.625</v>
      </c>
      <c r="ED16" s="2">
        <f>B16</f>
        <v>0</v>
      </c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80">
        <f t="shared" si="59"/>
        <v>0</v>
      </c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5">
        <f t="shared" si="41"/>
        <v>0</v>
      </c>
      <c r="FH16" s="84">
        <f t="shared" si="42"/>
        <v>-25</v>
      </c>
      <c r="FI16" s="64"/>
      <c r="FJ16" s="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8"/>
      <c r="GK16" s="9">
        <f t="shared" si="43"/>
        <v>0</v>
      </c>
      <c r="GL16" s="9">
        <f t="shared" si="44"/>
        <v>0</v>
      </c>
      <c r="GM16" s="9">
        <f t="shared" si="45"/>
        <v>0</v>
      </c>
      <c r="GN16" s="9">
        <f t="shared" si="46"/>
        <v>0</v>
      </c>
      <c r="GO16" s="9">
        <f t="shared" si="47"/>
        <v>0</v>
      </c>
      <c r="GP16" s="9">
        <f t="shared" si="48"/>
        <v>0</v>
      </c>
      <c r="GQ16" s="9">
        <f t="shared" si="49"/>
        <v>0</v>
      </c>
      <c r="GR16" s="9">
        <f t="shared" si="50"/>
        <v>0</v>
      </c>
      <c r="GS16" s="9">
        <f t="shared" si="51"/>
        <v>0</v>
      </c>
      <c r="GT16" s="9">
        <f t="shared" si="52"/>
        <v>0</v>
      </c>
      <c r="GU16" s="9">
        <f t="shared" si="53"/>
        <v>0</v>
      </c>
      <c r="GV16" s="9">
        <f t="shared" si="54"/>
        <v>0</v>
      </c>
      <c r="GW16" s="9">
        <f t="shared" si="55"/>
        <v>0</v>
      </c>
      <c r="GX16" s="77">
        <f t="shared" si="56"/>
        <v>0</v>
      </c>
      <c r="GY16" s="77">
        <f t="shared" si="57"/>
        <v>0</v>
      </c>
      <c r="GZ16" s="77">
        <f t="shared" si="58"/>
        <v>0</v>
      </c>
    </row>
    <row r="17" spans="1:208">
      <c r="A17" s="48"/>
      <c r="B17" s="49"/>
      <c r="C17" s="50"/>
      <c r="D17" s="51"/>
      <c r="E17" s="50"/>
      <c r="F17" s="5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90">
        <f t="shared" si="14"/>
        <v>0</v>
      </c>
      <c r="V17" s="91" t="e">
        <f t="shared" si="15"/>
        <v>#DIV/0!</v>
      </c>
      <c r="W17" s="92">
        <f t="shared" si="16"/>
        <v>0</v>
      </c>
      <c r="X17" s="92">
        <f t="shared" si="17"/>
        <v>0</v>
      </c>
      <c r="Y17" s="92">
        <f t="shared" si="18"/>
        <v>0</v>
      </c>
      <c r="Z17" s="91">
        <f t="shared" si="19"/>
        <v>0</v>
      </c>
      <c r="AA17" s="93">
        <f t="shared" si="20"/>
        <v>0</v>
      </c>
      <c r="AB17" s="99">
        <f t="shared" si="21"/>
        <v>0</v>
      </c>
      <c r="AC17" s="54">
        <f t="shared" si="22"/>
        <v>0</v>
      </c>
      <c r="AD17" s="54">
        <f t="shared" si="23"/>
        <v>3</v>
      </c>
      <c r="AE17" s="54" t="e">
        <f t="shared" si="24"/>
        <v>#DIV/0!</v>
      </c>
      <c r="AF17" s="54">
        <f t="shared" si="25"/>
        <v>0</v>
      </c>
      <c r="AG17" s="54">
        <f t="shared" si="26"/>
        <v>0</v>
      </c>
      <c r="AH17" s="54">
        <f t="shared" si="27"/>
        <v>0</v>
      </c>
      <c r="AI17" s="55" t="e">
        <f t="shared" si="28"/>
        <v>#DIV/0!</v>
      </c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113"/>
      <c r="BB17" s="110"/>
      <c r="BC17" s="110"/>
      <c r="BD17" s="110"/>
      <c r="BE17" s="110"/>
      <c r="BF17" s="110"/>
      <c r="BG17" s="110"/>
      <c r="BH17" s="110"/>
      <c r="BI17" s="113"/>
      <c r="BJ17" s="110"/>
      <c r="BK17" s="110"/>
      <c r="BL17" s="110"/>
      <c r="BM17" s="110"/>
      <c r="BN17" s="113"/>
      <c r="BO17" s="110"/>
      <c r="BP17" s="110"/>
      <c r="BQ17" s="110"/>
      <c r="BR17" s="110"/>
      <c r="BS17" s="110"/>
      <c r="BT17" s="110"/>
      <c r="BU17" s="110"/>
      <c r="BV17" s="110"/>
      <c r="BW17" s="110"/>
      <c r="BX17" s="113"/>
      <c r="BY17" s="110"/>
      <c r="BZ17" s="110"/>
      <c r="CA17" s="110"/>
      <c r="CB17" s="110"/>
      <c r="CC17" s="110"/>
      <c r="CD17" s="110"/>
      <c r="CE17" s="110"/>
      <c r="CF17" s="110"/>
      <c r="CG17" s="113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66"/>
      <c r="DA17" s="70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56"/>
      <c r="DR17" s="57">
        <f t="shared" si="29"/>
        <v>-50</v>
      </c>
      <c r="DS17" s="58">
        <f t="shared" si="30"/>
        <v>-100</v>
      </c>
      <c r="DT17" s="58">
        <f t="shared" si="31"/>
        <v>-25</v>
      </c>
      <c r="DU17" s="58">
        <f t="shared" si="32"/>
        <v>-25</v>
      </c>
      <c r="DV17" s="58">
        <f t="shared" si="33"/>
        <v>-20</v>
      </c>
      <c r="DW17" s="58">
        <f t="shared" si="34"/>
        <v>-25</v>
      </c>
      <c r="DX17" s="58">
        <f t="shared" si="35"/>
        <v>-100</v>
      </c>
      <c r="DY17" s="58">
        <f t="shared" si="36"/>
        <v>-20</v>
      </c>
      <c r="DZ17" s="59" t="b">
        <f t="shared" si="37"/>
        <v>0</v>
      </c>
      <c r="EA17" s="60">
        <f t="shared" si="38"/>
        <v>-44</v>
      </c>
      <c r="EB17" s="61">
        <f t="shared" si="39"/>
        <v>-38</v>
      </c>
      <c r="EC17" s="62">
        <f t="shared" si="40"/>
        <v>-45.625</v>
      </c>
      <c r="ED17" s="2">
        <f>B17</f>
        <v>0</v>
      </c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80">
        <f t="shared" si="59"/>
        <v>0</v>
      </c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5">
        <f t="shared" si="41"/>
        <v>0</v>
      </c>
      <c r="FH17" s="84">
        <f t="shared" si="42"/>
        <v>-25</v>
      </c>
      <c r="FI17" s="64"/>
      <c r="FJ17" s="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8"/>
      <c r="GK17" s="9">
        <f t="shared" si="43"/>
        <v>0</v>
      </c>
      <c r="GL17" s="9">
        <f t="shared" si="44"/>
        <v>0</v>
      </c>
      <c r="GM17" s="9">
        <f t="shared" si="45"/>
        <v>0</v>
      </c>
      <c r="GN17" s="9">
        <f t="shared" si="46"/>
        <v>0</v>
      </c>
      <c r="GO17" s="9">
        <f t="shared" si="47"/>
        <v>0</v>
      </c>
      <c r="GP17" s="9">
        <f t="shared" si="48"/>
        <v>0</v>
      </c>
      <c r="GQ17" s="9">
        <f t="shared" si="49"/>
        <v>0</v>
      </c>
      <c r="GR17" s="9">
        <f t="shared" si="50"/>
        <v>0</v>
      </c>
      <c r="GS17" s="9">
        <f t="shared" si="51"/>
        <v>0</v>
      </c>
      <c r="GT17" s="9">
        <f t="shared" si="52"/>
        <v>0</v>
      </c>
      <c r="GU17" s="9">
        <f t="shared" si="53"/>
        <v>0</v>
      </c>
      <c r="GV17" s="9">
        <f t="shared" si="54"/>
        <v>0</v>
      </c>
      <c r="GW17" s="9">
        <f t="shared" si="55"/>
        <v>0</v>
      </c>
      <c r="GX17" s="77">
        <f t="shared" si="56"/>
        <v>0</v>
      </c>
      <c r="GY17" s="77">
        <f t="shared" si="57"/>
        <v>0</v>
      </c>
      <c r="GZ17" s="77">
        <f t="shared" si="58"/>
        <v>0</v>
      </c>
    </row>
    <row r="18" spans="1:208">
      <c r="A18" s="48"/>
      <c r="B18" s="49"/>
      <c r="C18" s="50"/>
      <c r="D18" s="51"/>
      <c r="E18" s="50"/>
      <c r="F18" s="5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90">
        <f t="shared" si="14"/>
        <v>0</v>
      </c>
      <c r="V18" s="91" t="e">
        <f t="shared" si="15"/>
        <v>#DIV/0!</v>
      </c>
      <c r="W18" s="92">
        <f t="shared" si="16"/>
        <v>0</v>
      </c>
      <c r="X18" s="92">
        <f t="shared" si="17"/>
        <v>0</v>
      </c>
      <c r="Y18" s="92">
        <f t="shared" si="18"/>
        <v>0</v>
      </c>
      <c r="Z18" s="91">
        <f t="shared" si="19"/>
        <v>0</v>
      </c>
      <c r="AA18" s="93">
        <f t="shared" si="20"/>
        <v>0</v>
      </c>
      <c r="AB18" s="99">
        <f t="shared" si="21"/>
        <v>0</v>
      </c>
      <c r="AC18" s="54">
        <f t="shared" si="22"/>
        <v>0</v>
      </c>
      <c r="AD18" s="54">
        <f t="shared" si="23"/>
        <v>3</v>
      </c>
      <c r="AE18" s="54" t="e">
        <f t="shared" si="24"/>
        <v>#DIV/0!</v>
      </c>
      <c r="AF18" s="54">
        <f t="shared" si="25"/>
        <v>0</v>
      </c>
      <c r="AG18" s="54">
        <f t="shared" si="26"/>
        <v>0</v>
      </c>
      <c r="AH18" s="54">
        <f t="shared" si="27"/>
        <v>0</v>
      </c>
      <c r="AI18" s="55" t="e">
        <f t="shared" si="28"/>
        <v>#DIV/0!</v>
      </c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113"/>
      <c r="BB18" s="110"/>
      <c r="BC18" s="110"/>
      <c r="BD18" s="110"/>
      <c r="BE18" s="110"/>
      <c r="BF18" s="110"/>
      <c r="BG18" s="110"/>
      <c r="BH18" s="110"/>
      <c r="BI18" s="113"/>
      <c r="BJ18" s="110"/>
      <c r="BK18" s="110"/>
      <c r="BL18" s="110"/>
      <c r="BM18" s="110"/>
      <c r="BN18" s="113"/>
      <c r="BO18" s="110"/>
      <c r="BP18" s="110"/>
      <c r="BQ18" s="110"/>
      <c r="BR18" s="110"/>
      <c r="BS18" s="110"/>
      <c r="BT18" s="110"/>
      <c r="BU18" s="110"/>
      <c r="BV18" s="110"/>
      <c r="BW18" s="110"/>
      <c r="BX18" s="113"/>
      <c r="BY18" s="110"/>
      <c r="BZ18" s="110"/>
      <c r="CA18" s="110"/>
      <c r="CB18" s="110"/>
      <c r="CC18" s="110"/>
      <c r="CD18" s="110"/>
      <c r="CE18" s="110"/>
      <c r="CF18" s="110"/>
      <c r="CG18" s="113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66"/>
      <c r="DA18" s="70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56"/>
      <c r="DR18" s="57">
        <f t="shared" si="29"/>
        <v>-50</v>
      </c>
      <c r="DS18" s="58">
        <f t="shared" si="30"/>
        <v>-100</v>
      </c>
      <c r="DT18" s="58">
        <f t="shared" si="31"/>
        <v>-25</v>
      </c>
      <c r="DU18" s="58">
        <f t="shared" si="32"/>
        <v>-25</v>
      </c>
      <c r="DV18" s="58">
        <f t="shared" si="33"/>
        <v>-20</v>
      </c>
      <c r="DW18" s="58">
        <f t="shared" si="34"/>
        <v>-25</v>
      </c>
      <c r="DX18" s="58">
        <f t="shared" si="35"/>
        <v>-100</v>
      </c>
      <c r="DY18" s="58">
        <f t="shared" si="36"/>
        <v>-20</v>
      </c>
      <c r="DZ18" s="59" t="b">
        <f t="shared" si="37"/>
        <v>0</v>
      </c>
      <c r="EA18" s="60">
        <f t="shared" si="38"/>
        <v>-44</v>
      </c>
      <c r="EB18" s="61">
        <f t="shared" si="39"/>
        <v>-38</v>
      </c>
      <c r="EC18" s="62">
        <f t="shared" si="40"/>
        <v>-45.625</v>
      </c>
      <c r="ED18" s="2">
        <f>B18</f>
        <v>0</v>
      </c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80">
        <f t="shared" si="59"/>
        <v>0</v>
      </c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5">
        <f t="shared" si="41"/>
        <v>0</v>
      </c>
      <c r="FH18" s="84">
        <f t="shared" si="42"/>
        <v>-25</v>
      </c>
      <c r="FI18" s="64"/>
      <c r="FJ18" s="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8"/>
      <c r="GK18" s="9">
        <f t="shared" si="43"/>
        <v>0</v>
      </c>
      <c r="GL18" s="9">
        <f t="shared" si="44"/>
        <v>0</v>
      </c>
      <c r="GM18" s="9">
        <f t="shared" si="45"/>
        <v>0</v>
      </c>
      <c r="GN18" s="9">
        <f t="shared" si="46"/>
        <v>0</v>
      </c>
      <c r="GO18" s="9">
        <f t="shared" si="47"/>
        <v>0</v>
      </c>
      <c r="GP18" s="9">
        <f t="shared" si="48"/>
        <v>0</v>
      </c>
      <c r="GQ18" s="9">
        <f t="shared" si="49"/>
        <v>0</v>
      </c>
      <c r="GR18" s="9">
        <f t="shared" si="50"/>
        <v>0</v>
      </c>
      <c r="GS18" s="9">
        <f t="shared" si="51"/>
        <v>0</v>
      </c>
      <c r="GT18" s="9">
        <f t="shared" si="52"/>
        <v>0</v>
      </c>
      <c r="GU18" s="9">
        <f t="shared" si="53"/>
        <v>0</v>
      </c>
      <c r="GV18" s="9">
        <f t="shared" si="54"/>
        <v>0</v>
      </c>
      <c r="GW18" s="9">
        <f t="shared" si="55"/>
        <v>0</v>
      </c>
      <c r="GX18" s="77">
        <f t="shared" si="56"/>
        <v>0</v>
      </c>
      <c r="GY18" s="77">
        <f t="shared" si="57"/>
        <v>0</v>
      </c>
      <c r="GZ18" s="77">
        <f t="shared" si="58"/>
        <v>0</v>
      </c>
    </row>
    <row r="19" spans="1:208">
      <c r="A19" s="48"/>
      <c r="B19" s="49"/>
      <c r="C19" s="50"/>
      <c r="D19" s="51"/>
      <c r="E19" s="50"/>
      <c r="F19" s="52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90">
        <f t="shared" si="14"/>
        <v>0</v>
      </c>
      <c r="V19" s="91" t="e">
        <f t="shared" si="15"/>
        <v>#DIV/0!</v>
      </c>
      <c r="W19" s="92">
        <f t="shared" si="16"/>
        <v>0</v>
      </c>
      <c r="X19" s="92">
        <f t="shared" si="17"/>
        <v>0</v>
      </c>
      <c r="Y19" s="92">
        <f t="shared" si="18"/>
        <v>0</v>
      </c>
      <c r="Z19" s="91">
        <f t="shared" si="19"/>
        <v>0</v>
      </c>
      <c r="AA19" s="93">
        <f t="shared" si="20"/>
        <v>0</v>
      </c>
      <c r="AB19" s="99">
        <f t="shared" si="21"/>
        <v>0</v>
      </c>
      <c r="AC19" s="54">
        <f t="shared" si="22"/>
        <v>0</v>
      </c>
      <c r="AD19" s="54">
        <f t="shared" si="23"/>
        <v>3</v>
      </c>
      <c r="AE19" s="54" t="e">
        <f t="shared" si="24"/>
        <v>#DIV/0!</v>
      </c>
      <c r="AF19" s="54">
        <f t="shared" si="25"/>
        <v>0</v>
      </c>
      <c r="AG19" s="54">
        <f t="shared" si="26"/>
        <v>0</v>
      </c>
      <c r="AH19" s="54">
        <f t="shared" si="27"/>
        <v>0</v>
      </c>
      <c r="AI19" s="55" t="e">
        <f t="shared" si="28"/>
        <v>#DIV/0!</v>
      </c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113"/>
      <c r="BB19" s="110"/>
      <c r="BC19" s="110"/>
      <c r="BD19" s="110"/>
      <c r="BE19" s="110"/>
      <c r="BF19" s="110"/>
      <c r="BG19" s="110"/>
      <c r="BH19" s="110"/>
      <c r="BI19" s="113"/>
      <c r="BJ19" s="110"/>
      <c r="BK19" s="110"/>
      <c r="BL19" s="110"/>
      <c r="BM19" s="110"/>
      <c r="BN19" s="113"/>
      <c r="BO19" s="110"/>
      <c r="BP19" s="110"/>
      <c r="BQ19" s="110"/>
      <c r="BR19" s="110"/>
      <c r="BS19" s="110"/>
      <c r="BT19" s="110"/>
      <c r="BU19" s="110"/>
      <c r="BV19" s="110"/>
      <c r="BW19" s="110"/>
      <c r="BX19" s="113"/>
      <c r="BY19" s="110"/>
      <c r="BZ19" s="110"/>
      <c r="CA19" s="110"/>
      <c r="CB19" s="110"/>
      <c r="CC19" s="110"/>
      <c r="CD19" s="110"/>
      <c r="CE19" s="110"/>
      <c r="CF19" s="110"/>
      <c r="CG19" s="113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66"/>
      <c r="DA19" s="70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56"/>
      <c r="DR19" s="57">
        <f t="shared" si="29"/>
        <v>-50</v>
      </c>
      <c r="DS19" s="58">
        <f t="shared" si="30"/>
        <v>-100</v>
      </c>
      <c r="DT19" s="58">
        <f t="shared" si="31"/>
        <v>-25</v>
      </c>
      <c r="DU19" s="58">
        <f t="shared" si="32"/>
        <v>-25</v>
      </c>
      <c r="DV19" s="58">
        <f t="shared" si="33"/>
        <v>-20</v>
      </c>
      <c r="DW19" s="58">
        <f t="shared" si="34"/>
        <v>-25</v>
      </c>
      <c r="DX19" s="58">
        <f t="shared" si="35"/>
        <v>-100</v>
      </c>
      <c r="DY19" s="58">
        <f t="shared" si="36"/>
        <v>-20</v>
      </c>
      <c r="DZ19" s="59" t="b">
        <f t="shared" si="37"/>
        <v>0</v>
      </c>
      <c r="EA19" s="60">
        <f t="shared" si="38"/>
        <v>-44</v>
      </c>
      <c r="EB19" s="61">
        <f t="shared" si="39"/>
        <v>-38</v>
      </c>
      <c r="EC19" s="62">
        <f t="shared" si="40"/>
        <v>-45.625</v>
      </c>
      <c r="ED19" s="2">
        <f>B19</f>
        <v>0</v>
      </c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80">
        <f t="shared" si="59"/>
        <v>0</v>
      </c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5">
        <f t="shared" si="41"/>
        <v>0</v>
      </c>
      <c r="FH19" s="84">
        <f t="shared" si="42"/>
        <v>-25</v>
      </c>
      <c r="FI19" s="64"/>
      <c r="FJ19" s="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8"/>
      <c r="GK19" s="9">
        <f t="shared" si="43"/>
        <v>0</v>
      </c>
      <c r="GL19" s="9">
        <f t="shared" si="44"/>
        <v>0</v>
      </c>
      <c r="GM19" s="9">
        <f t="shared" si="45"/>
        <v>0</v>
      </c>
      <c r="GN19" s="9">
        <f t="shared" si="46"/>
        <v>0</v>
      </c>
      <c r="GO19" s="9">
        <f t="shared" si="47"/>
        <v>0</v>
      </c>
      <c r="GP19" s="9">
        <f t="shared" si="48"/>
        <v>0</v>
      </c>
      <c r="GQ19" s="9">
        <f t="shared" si="49"/>
        <v>0</v>
      </c>
      <c r="GR19" s="9">
        <f t="shared" si="50"/>
        <v>0</v>
      </c>
      <c r="GS19" s="9">
        <f t="shared" si="51"/>
        <v>0</v>
      </c>
      <c r="GT19" s="9">
        <f t="shared" si="52"/>
        <v>0</v>
      </c>
      <c r="GU19" s="9">
        <f t="shared" si="53"/>
        <v>0</v>
      </c>
      <c r="GV19" s="9">
        <f t="shared" si="54"/>
        <v>0</v>
      </c>
      <c r="GW19" s="9">
        <f t="shared" si="55"/>
        <v>0</v>
      </c>
      <c r="GX19" s="77">
        <f t="shared" si="56"/>
        <v>0</v>
      </c>
      <c r="GY19" s="77">
        <f t="shared" si="57"/>
        <v>0</v>
      </c>
      <c r="GZ19" s="77">
        <f t="shared" si="58"/>
        <v>0</v>
      </c>
    </row>
    <row r="20" spans="1:208">
      <c r="A20" s="48"/>
      <c r="B20" s="49"/>
      <c r="C20" s="50"/>
      <c r="D20" s="51"/>
      <c r="E20" s="50"/>
      <c r="F20" s="5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90">
        <f t="shared" si="14"/>
        <v>0</v>
      </c>
      <c r="V20" s="91" t="e">
        <f t="shared" si="15"/>
        <v>#DIV/0!</v>
      </c>
      <c r="W20" s="92">
        <f t="shared" si="16"/>
        <v>0</v>
      </c>
      <c r="X20" s="92">
        <f t="shared" si="17"/>
        <v>0</v>
      </c>
      <c r="Y20" s="92">
        <f t="shared" si="18"/>
        <v>0</v>
      </c>
      <c r="Z20" s="91">
        <f t="shared" si="19"/>
        <v>0</v>
      </c>
      <c r="AA20" s="93">
        <f t="shared" si="20"/>
        <v>0</v>
      </c>
      <c r="AB20" s="99">
        <f t="shared" si="21"/>
        <v>0</v>
      </c>
      <c r="AC20" s="54">
        <f t="shared" si="22"/>
        <v>0</v>
      </c>
      <c r="AD20" s="54">
        <f t="shared" si="23"/>
        <v>3</v>
      </c>
      <c r="AE20" s="54" t="e">
        <f t="shared" si="24"/>
        <v>#DIV/0!</v>
      </c>
      <c r="AF20" s="54">
        <f t="shared" si="25"/>
        <v>0</v>
      </c>
      <c r="AG20" s="54">
        <f t="shared" si="26"/>
        <v>0</v>
      </c>
      <c r="AH20" s="54">
        <f t="shared" si="27"/>
        <v>0</v>
      </c>
      <c r="AI20" s="55" t="e">
        <f t="shared" si="28"/>
        <v>#DIV/0!</v>
      </c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113"/>
      <c r="BB20" s="110"/>
      <c r="BC20" s="110"/>
      <c r="BD20" s="110"/>
      <c r="BE20" s="110"/>
      <c r="BF20" s="110"/>
      <c r="BG20" s="110"/>
      <c r="BH20" s="110"/>
      <c r="BI20" s="113"/>
      <c r="BJ20" s="110"/>
      <c r="BK20" s="110"/>
      <c r="BL20" s="110"/>
      <c r="BM20" s="110"/>
      <c r="BN20" s="113"/>
      <c r="BO20" s="110"/>
      <c r="BP20" s="110"/>
      <c r="BQ20" s="110"/>
      <c r="BR20" s="110"/>
      <c r="BS20" s="110"/>
      <c r="BT20" s="110"/>
      <c r="BU20" s="110"/>
      <c r="BV20" s="110"/>
      <c r="BW20" s="110"/>
      <c r="BX20" s="113"/>
      <c r="BY20" s="110"/>
      <c r="BZ20" s="110"/>
      <c r="CA20" s="110"/>
      <c r="CB20" s="110"/>
      <c r="CC20" s="110"/>
      <c r="CD20" s="110"/>
      <c r="CE20" s="110"/>
      <c r="CF20" s="110"/>
      <c r="CG20" s="113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66"/>
      <c r="DA20" s="70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56"/>
      <c r="DR20" s="57">
        <f t="shared" si="29"/>
        <v>-50</v>
      </c>
      <c r="DS20" s="58">
        <f t="shared" si="30"/>
        <v>-100</v>
      </c>
      <c r="DT20" s="58">
        <f t="shared" si="31"/>
        <v>-25</v>
      </c>
      <c r="DU20" s="58">
        <f t="shared" si="32"/>
        <v>-25</v>
      </c>
      <c r="DV20" s="58">
        <f t="shared" si="33"/>
        <v>-20</v>
      </c>
      <c r="DW20" s="58">
        <f t="shared" si="34"/>
        <v>-25</v>
      </c>
      <c r="DX20" s="58">
        <f t="shared" si="35"/>
        <v>-100</v>
      </c>
      <c r="DY20" s="58">
        <f t="shared" si="36"/>
        <v>-20</v>
      </c>
      <c r="DZ20" s="59" t="b">
        <f t="shared" si="37"/>
        <v>0</v>
      </c>
      <c r="EA20" s="60">
        <f t="shared" si="38"/>
        <v>-44</v>
      </c>
      <c r="EB20" s="61">
        <f t="shared" si="39"/>
        <v>-38</v>
      </c>
      <c r="EC20" s="62">
        <f t="shared" si="40"/>
        <v>-45.625</v>
      </c>
      <c r="ED20" s="2">
        <f>B20</f>
        <v>0</v>
      </c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80">
        <f t="shared" si="59"/>
        <v>0</v>
      </c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5">
        <f t="shared" si="41"/>
        <v>0</v>
      </c>
      <c r="FH20" s="84">
        <f t="shared" si="42"/>
        <v>-25</v>
      </c>
      <c r="FI20" s="64"/>
      <c r="FJ20" s="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8"/>
      <c r="GK20" s="9">
        <f t="shared" si="43"/>
        <v>0</v>
      </c>
      <c r="GL20" s="9">
        <f t="shared" si="44"/>
        <v>0</v>
      </c>
      <c r="GM20" s="9">
        <f t="shared" si="45"/>
        <v>0</v>
      </c>
      <c r="GN20" s="9">
        <f t="shared" si="46"/>
        <v>0</v>
      </c>
      <c r="GO20" s="9">
        <f t="shared" si="47"/>
        <v>0</v>
      </c>
      <c r="GP20" s="9">
        <f t="shared" si="48"/>
        <v>0</v>
      </c>
      <c r="GQ20" s="9">
        <f t="shared" si="49"/>
        <v>0</v>
      </c>
      <c r="GR20" s="9">
        <f t="shared" si="50"/>
        <v>0</v>
      </c>
      <c r="GS20" s="9">
        <f t="shared" si="51"/>
        <v>0</v>
      </c>
      <c r="GT20" s="9">
        <f t="shared" si="52"/>
        <v>0</v>
      </c>
      <c r="GU20" s="9">
        <f t="shared" si="53"/>
        <v>0</v>
      </c>
      <c r="GV20" s="9">
        <f t="shared" si="54"/>
        <v>0</v>
      </c>
      <c r="GW20" s="9">
        <f t="shared" si="55"/>
        <v>0</v>
      </c>
      <c r="GX20" s="77">
        <f t="shared" si="56"/>
        <v>0</v>
      </c>
      <c r="GY20" s="77">
        <f t="shared" si="57"/>
        <v>0</v>
      </c>
      <c r="GZ20" s="77">
        <f t="shared" si="58"/>
        <v>0</v>
      </c>
    </row>
    <row r="21" spans="1:208">
      <c r="A21" s="48"/>
      <c r="B21" s="49"/>
      <c r="C21" s="50"/>
      <c r="D21" s="51"/>
      <c r="E21" s="50"/>
      <c r="F21" s="52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90">
        <f t="shared" si="14"/>
        <v>0</v>
      </c>
      <c r="V21" s="91" t="e">
        <f t="shared" si="15"/>
        <v>#DIV/0!</v>
      </c>
      <c r="W21" s="92">
        <f t="shared" si="16"/>
        <v>0</v>
      </c>
      <c r="X21" s="92">
        <f t="shared" si="17"/>
        <v>0</v>
      </c>
      <c r="Y21" s="92">
        <f t="shared" si="18"/>
        <v>0</v>
      </c>
      <c r="Z21" s="91">
        <f t="shared" si="19"/>
        <v>0</v>
      </c>
      <c r="AA21" s="93">
        <f t="shared" si="20"/>
        <v>0</v>
      </c>
      <c r="AB21" s="99">
        <f t="shared" si="21"/>
        <v>0</v>
      </c>
      <c r="AC21" s="54">
        <f t="shared" si="22"/>
        <v>0</v>
      </c>
      <c r="AD21" s="54">
        <f t="shared" si="23"/>
        <v>3</v>
      </c>
      <c r="AE21" s="54" t="e">
        <f t="shared" si="24"/>
        <v>#DIV/0!</v>
      </c>
      <c r="AF21" s="54">
        <f t="shared" si="25"/>
        <v>0</v>
      </c>
      <c r="AG21" s="54">
        <f t="shared" si="26"/>
        <v>0</v>
      </c>
      <c r="AH21" s="54">
        <f t="shared" si="27"/>
        <v>0</v>
      </c>
      <c r="AI21" s="55" t="e">
        <f t="shared" si="28"/>
        <v>#DIV/0!</v>
      </c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113"/>
      <c r="BB21" s="110"/>
      <c r="BC21" s="110"/>
      <c r="BD21" s="110"/>
      <c r="BE21" s="110"/>
      <c r="BF21" s="110"/>
      <c r="BG21" s="110"/>
      <c r="BH21" s="110"/>
      <c r="BI21" s="113"/>
      <c r="BJ21" s="110"/>
      <c r="BK21" s="110"/>
      <c r="BL21" s="110"/>
      <c r="BM21" s="110"/>
      <c r="BN21" s="113"/>
      <c r="BO21" s="110"/>
      <c r="BP21" s="110"/>
      <c r="BQ21" s="110"/>
      <c r="BR21" s="110"/>
      <c r="BS21" s="110"/>
      <c r="BT21" s="110"/>
      <c r="BU21" s="110"/>
      <c r="BV21" s="110"/>
      <c r="BW21" s="110"/>
      <c r="BX21" s="113"/>
      <c r="BY21" s="110"/>
      <c r="BZ21" s="110"/>
      <c r="CA21" s="110"/>
      <c r="CB21" s="110"/>
      <c r="CC21" s="110"/>
      <c r="CD21" s="110"/>
      <c r="CE21" s="110"/>
      <c r="CF21" s="110"/>
      <c r="CG21" s="113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66"/>
      <c r="DA21" s="70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56"/>
      <c r="DR21" s="57">
        <f t="shared" si="29"/>
        <v>-50</v>
      </c>
      <c r="DS21" s="58">
        <f t="shared" si="30"/>
        <v>-100</v>
      </c>
      <c r="DT21" s="58">
        <f t="shared" si="31"/>
        <v>-25</v>
      </c>
      <c r="DU21" s="58">
        <f t="shared" si="32"/>
        <v>-25</v>
      </c>
      <c r="DV21" s="58">
        <f t="shared" si="33"/>
        <v>-20</v>
      </c>
      <c r="DW21" s="58">
        <f t="shared" si="34"/>
        <v>-25</v>
      </c>
      <c r="DX21" s="58">
        <f t="shared" si="35"/>
        <v>-100</v>
      </c>
      <c r="DY21" s="58">
        <f t="shared" si="36"/>
        <v>-20</v>
      </c>
      <c r="DZ21" s="59" t="b">
        <f t="shared" si="37"/>
        <v>0</v>
      </c>
      <c r="EA21" s="60">
        <f t="shared" si="38"/>
        <v>-44</v>
      </c>
      <c r="EB21" s="61">
        <f t="shared" si="39"/>
        <v>-38</v>
      </c>
      <c r="EC21" s="62">
        <f t="shared" si="40"/>
        <v>-45.625</v>
      </c>
      <c r="ED21" s="2">
        <f>B21</f>
        <v>0</v>
      </c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80">
        <f t="shared" si="59"/>
        <v>0</v>
      </c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5">
        <f t="shared" si="41"/>
        <v>0</v>
      </c>
      <c r="FH21" s="84">
        <f t="shared" si="42"/>
        <v>-25</v>
      </c>
      <c r="FI21" s="64"/>
      <c r="FJ21" s="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8"/>
      <c r="GK21" s="9">
        <f t="shared" si="43"/>
        <v>0</v>
      </c>
      <c r="GL21" s="9">
        <f t="shared" si="44"/>
        <v>0</v>
      </c>
      <c r="GM21" s="9">
        <f t="shared" si="45"/>
        <v>0</v>
      </c>
      <c r="GN21" s="9">
        <f t="shared" si="46"/>
        <v>0</v>
      </c>
      <c r="GO21" s="9">
        <f t="shared" si="47"/>
        <v>0</v>
      </c>
      <c r="GP21" s="9">
        <f t="shared" si="48"/>
        <v>0</v>
      </c>
      <c r="GQ21" s="9">
        <f t="shared" si="49"/>
        <v>0</v>
      </c>
      <c r="GR21" s="9">
        <f t="shared" si="50"/>
        <v>0</v>
      </c>
      <c r="GS21" s="9">
        <f t="shared" si="51"/>
        <v>0</v>
      </c>
      <c r="GT21" s="9">
        <f t="shared" si="52"/>
        <v>0</v>
      </c>
      <c r="GU21" s="9">
        <f t="shared" si="53"/>
        <v>0</v>
      </c>
      <c r="GV21" s="9">
        <f t="shared" si="54"/>
        <v>0</v>
      </c>
      <c r="GW21" s="9">
        <f t="shared" si="55"/>
        <v>0</v>
      </c>
      <c r="GX21" s="77">
        <f t="shared" si="56"/>
        <v>0</v>
      </c>
      <c r="GY21" s="77">
        <f t="shared" si="57"/>
        <v>0</v>
      </c>
      <c r="GZ21" s="77">
        <f t="shared" si="58"/>
        <v>0</v>
      </c>
    </row>
    <row r="22" spans="1:208">
      <c r="A22" s="48"/>
      <c r="B22" s="49"/>
      <c r="C22" s="50"/>
      <c r="D22" s="51"/>
      <c r="E22" s="50"/>
      <c r="F22" s="5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90">
        <f t="shared" si="14"/>
        <v>0</v>
      </c>
      <c r="V22" s="91" t="e">
        <f t="shared" si="15"/>
        <v>#DIV/0!</v>
      </c>
      <c r="W22" s="92">
        <f t="shared" si="16"/>
        <v>0</v>
      </c>
      <c r="X22" s="92">
        <f t="shared" si="17"/>
        <v>0</v>
      </c>
      <c r="Y22" s="92">
        <f t="shared" si="18"/>
        <v>0</v>
      </c>
      <c r="Z22" s="91">
        <f t="shared" si="19"/>
        <v>0</v>
      </c>
      <c r="AA22" s="93">
        <f t="shared" si="20"/>
        <v>0</v>
      </c>
      <c r="AB22" s="99">
        <f t="shared" si="21"/>
        <v>0</v>
      </c>
      <c r="AC22" s="54">
        <f t="shared" si="22"/>
        <v>0</v>
      </c>
      <c r="AD22" s="54">
        <f t="shared" si="23"/>
        <v>3</v>
      </c>
      <c r="AE22" s="54" t="e">
        <f t="shared" si="24"/>
        <v>#DIV/0!</v>
      </c>
      <c r="AF22" s="54">
        <f t="shared" si="25"/>
        <v>0</v>
      </c>
      <c r="AG22" s="54">
        <f t="shared" si="26"/>
        <v>0</v>
      </c>
      <c r="AH22" s="54">
        <f t="shared" si="27"/>
        <v>0</v>
      </c>
      <c r="AI22" s="55" t="e">
        <f t="shared" si="28"/>
        <v>#DIV/0!</v>
      </c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113"/>
      <c r="BB22" s="110"/>
      <c r="BC22" s="110"/>
      <c r="BD22" s="110"/>
      <c r="BE22" s="110"/>
      <c r="BF22" s="110"/>
      <c r="BG22" s="110"/>
      <c r="BH22" s="110"/>
      <c r="BI22" s="113"/>
      <c r="BJ22" s="110"/>
      <c r="BK22" s="110"/>
      <c r="BL22" s="110"/>
      <c r="BM22" s="110"/>
      <c r="BN22" s="113"/>
      <c r="BO22" s="110"/>
      <c r="BP22" s="110"/>
      <c r="BQ22" s="110"/>
      <c r="BR22" s="110"/>
      <c r="BS22" s="110"/>
      <c r="BT22" s="110"/>
      <c r="BU22" s="110"/>
      <c r="BV22" s="110"/>
      <c r="BW22" s="110"/>
      <c r="BX22" s="113"/>
      <c r="BY22" s="110"/>
      <c r="BZ22" s="110"/>
      <c r="CA22" s="110"/>
      <c r="CB22" s="110"/>
      <c r="CC22" s="110"/>
      <c r="CD22" s="110"/>
      <c r="CE22" s="110"/>
      <c r="CF22" s="110"/>
      <c r="CG22" s="113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66"/>
      <c r="DA22" s="70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56"/>
      <c r="DR22" s="57">
        <f t="shared" si="29"/>
        <v>-50</v>
      </c>
      <c r="DS22" s="58">
        <f t="shared" si="30"/>
        <v>-100</v>
      </c>
      <c r="DT22" s="58">
        <f t="shared" si="31"/>
        <v>-25</v>
      </c>
      <c r="DU22" s="58">
        <f t="shared" si="32"/>
        <v>-25</v>
      </c>
      <c r="DV22" s="58">
        <f t="shared" si="33"/>
        <v>-20</v>
      </c>
      <c r="DW22" s="58">
        <f t="shared" si="34"/>
        <v>-25</v>
      </c>
      <c r="DX22" s="58">
        <f t="shared" si="35"/>
        <v>-100</v>
      </c>
      <c r="DY22" s="58">
        <f t="shared" si="36"/>
        <v>-20</v>
      </c>
      <c r="DZ22" s="59" t="b">
        <f t="shared" si="37"/>
        <v>0</v>
      </c>
      <c r="EA22" s="60">
        <f t="shared" si="38"/>
        <v>-44</v>
      </c>
      <c r="EB22" s="61">
        <f t="shared" si="39"/>
        <v>-38</v>
      </c>
      <c r="EC22" s="62">
        <f t="shared" si="40"/>
        <v>-45.625</v>
      </c>
      <c r="ED22" s="2">
        <f>B22</f>
        <v>0</v>
      </c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  <c r="EP22" s="63"/>
      <c r="EQ22" s="63"/>
      <c r="ER22" s="63"/>
      <c r="ES22" s="63"/>
      <c r="ET22" s="63"/>
      <c r="EU22" s="80">
        <f t="shared" si="59"/>
        <v>0</v>
      </c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5">
        <f t="shared" si="41"/>
        <v>0</v>
      </c>
      <c r="FH22" s="84">
        <f t="shared" si="42"/>
        <v>-25</v>
      </c>
      <c r="FI22" s="64"/>
      <c r="FJ22" s="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8"/>
      <c r="GK22" s="9">
        <f t="shared" si="43"/>
        <v>0</v>
      </c>
      <c r="GL22" s="9">
        <f t="shared" si="44"/>
        <v>0</v>
      </c>
      <c r="GM22" s="9">
        <f t="shared" si="45"/>
        <v>0</v>
      </c>
      <c r="GN22" s="9">
        <f t="shared" si="46"/>
        <v>0</v>
      </c>
      <c r="GO22" s="9">
        <f t="shared" si="47"/>
        <v>0</v>
      </c>
      <c r="GP22" s="9">
        <f t="shared" si="48"/>
        <v>0</v>
      </c>
      <c r="GQ22" s="9">
        <f t="shared" si="49"/>
        <v>0</v>
      </c>
      <c r="GR22" s="9">
        <f t="shared" si="50"/>
        <v>0</v>
      </c>
      <c r="GS22" s="9">
        <f t="shared" si="51"/>
        <v>0</v>
      </c>
      <c r="GT22" s="9">
        <f t="shared" si="52"/>
        <v>0</v>
      </c>
      <c r="GU22" s="9">
        <f t="shared" si="53"/>
        <v>0</v>
      </c>
      <c r="GV22" s="9">
        <f t="shared" si="54"/>
        <v>0</v>
      </c>
      <c r="GW22" s="9">
        <f t="shared" si="55"/>
        <v>0</v>
      </c>
      <c r="GX22" s="77">
        <f t="shared" si="56"/>
        <v>0</v>
      </c>
      <c r="GY22" s="77">
        <f t="shared" si="57"/>
        <v>0</v>
      </c>
      <c r="GZ22" s="77">
        <f t="shared" si="58"/>
        <v>0</v>
      </c>
    </row>
    <row r="23" spans="1:208">
      <c r="A23" s="48"/>
      <c r="B23" s="49"/>
      <c r="C23" s="50"/>
      <c r="D23" s="51"/>
      <c r="E23" s="50"/>
      <c r="F23" s="52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90">
        <f t="shared" si="14"/>
        <v>0</v>
      </c>
      <c r="V23" s="91" t="e">
        <f t="shared" si="15"/>
        <v>#DIV/0!</v>
      </c>
      <c r="W23" s="92">
        <f t="shared" si="16"/>
        <v>0</v>
      </c>
      <c r="X23" s="92">
        <f t="shared" si="17"/>
        <v>0</v>
      </c>
      <c r="Y23" s="92">
        <f t="shared" si="18"/>
        <v>0</v>
      </c>
      <c r="Z23" s="91">
        <f t="shared" si="19"/>
        <v>0</v>
      </c>
      <c r="AA23" s="93">
        <f t="shared" si="20"/>
        <v>0</v>
      </c>
      <c r="AB23" s="99">
        <f t="shared" si="21"/>
        <v>0</v>
      </c>
      <c r="AC23" s="54">
        <f t="shared" si="22"/>
        <v>0</v>
      </c>
      <c r="AD23" s="54">
        <f t="shared" si="23"/>
        <v>3</v>
      </c>
      <c r="AE23" s="54" t="e">
        <f t="shared" si="24"/>
        <v>#DIV/0!</v>
      </c>
      <c r="AF23" s="54">
        <f t="shared" si="25"/>
        <v>0</v>
      </c>
      <c r="AG23" s="54">
        <f t="shared" si="26"/>
        <v>0</v>
      </c>
      <c r="AH23" s="54">
        <f t="shared" si="27"/>
        <v>0</v>
      </c>
      <c r="AI23" s="55" t="e">
        <f t="shared" si="28"/>
        <v>#DIV/0!</v>
      </c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113"/>
      <c r="BB23" s="110"/>
      <c r="BC23" s="110"/>
      <c r="BD23" s="110"/>
      <c r="BE23" s="110"/>
      <c r="BF23" s="110"/>
      <c r="BG23" s="110"/>
      <c r="BH23" s="110"/>
      <c r="BI23" s="113"/>
      <c r="BJ23" s="110"/>
      <c r="BK23" s="110"/>
      <c r="BL23" s="110"/>
      <c r="BM23" s="110"/>
      <c r="BN23" s="113"/>
      <c r="BO23" s="110"/>
      <c r="BP23" s="110"/>
      <c r="BQ23" s="110"/>
      <c r="BR23" s="110"/>
      <c r="BS23" s="110"/>
      <c r="BT23" s="110"/>
      <c r="BU23" s="110"/>
      <c r="BV23" s="110"/>
      <c r="BW23" s="110"/>
      <c r="BX23" s="113"/>
      <c r="BY23" s="110"/>
      <c r="BZ23" s="110"/>
      <c r="CA23" s="110"/>
      <c r="CB23" s="110"/>
      <c r="CC23" s="110"/>
      <c r="CD23" s="110"/>
      <c r="CE23" s="110"/>
      <c r="CF23" s="110"/>
      <c r="CG23" s="113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66"/>
      <c r="DA23" s="70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56"/>
      <c r="DR23" s="57">
        <f t="shared" si="29"/>
        <v>-50</v>
      </c>
      <c r="DS23" s="58">
        <f t="shared" si="30"/>
        <v>-100</v>
      </c>
      <c r="DT23" s="58">
        <f t="shared" si="31"/>
        <v>-25</v>
      </c>
      <c r="DU23" s="58">
        <f t="shared" si="32"/>
        <v>-25</v>
      </c>
      <c r="DV23" s="58">
        <f t="shared" si="33"/>
        <v>-20</v>
      </c>
      <c r="DW23" s="58">
        <f t="shared" si="34"/>
        <v>-25</v>
      </c>
      <c r="DX23" s="58">
        <f t="shared" si="35"/>
        <v>-100</v>
      </c>
      <c r="DY23" s="58">
        <f t="shared" si="36"/>
        <v>-20</v>
      </c>
      <c r="DZ23" s="59" t="b">
        <f t="shared" si="37"/>
        <v>0</v>
      </c>
      <c r="EA23" s="60">
        <f t="shared" si="38"/>
        <v>-44</v>
      </c>
      <c r="EB23" s="61">
        <f t="shared" si="39"/>
        <v>-38</v>
      </c>
      <c r="EC23" s="62">
        <f t="shared" si="40"/>
        <v>-45.625</v>
      </c>
      <c r="ED23" s="2">
        <f>B23</f>
        <v>0</v>
      </c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80">
        <f t="shared" si="59"/>
        <v>0</v>
      </c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5">
        <f t="shared" si="41"/>
        <v>0</v>
      </c>
      <c r="FH23" s="84">
        <f t="shared" si="42"/>
        <v>-25</v>
      </c>
      <c r="FI23" s="64"/>
      <c r="FJ23" s="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8"/>
      <c r="GK23" s="9">
        <f t="shared" si="43"/>
        <v>0</v>
      </c>
      <c r="GL23" s="9">
        <f t="shared" si="44"/>
        <v>0</v>
      </c>
      <c r="GM23" s="9">
        <f t="shared" si="45"/>
        <v>0</v>
      </c>
      <c r="GN23" s="9">
        <f t="shared" si="46"/>
        <v>0</v>
      </c>
      <c r="GO23" s="9">
        <f t="shared" si="47"/>
        <v>0</v>
      </c>
      <c r="GP23" s="9">
        <f t="shared" si="48"/>
        <v>0</v>
      </c>
      <c r="GQ23" s="9">
        <f t="shared" si="49"/>
        <v>0</v>
      </c>
      <c r="GR23" s="9">
        <f t="shared" si="50"/>
        <v>0</v>
      </c>
      <c r="GS23" s="9">
        <f t="shared" si="51"/>
        <v>0</v>
      </c>
      <c r="GT23" s="9">
        <f t="shared" si="52"/>
        <v>0</v>
      </c>
      <c r="GU23" s="9">
        <f t="shared" si="53"/>
        <v>0</v>
      </c>
      <c r="GV23" s="9">
        <f t="shared" si="54"/>
        <v>0</v>
      </c>
      <c r="GW23" s="9">
        <f t="shared" si="55"/>
        <v>0</v>
      </c>
      <c r="GX23" s="77">
        <f t="shared" si="56"/>
        <v>0</v>
      </c>
      <c r="GY23" s="77">
        <f t="shared" si="57"/>
        <v>0</v>
      </c>
      <c r="GZ23" s="77">
        <f t="shared" si="58"/>
        <v>0</v>
      </c>
    </row>
    <row r="24" spans="1:208">
      <c r="A24" s="48"/>
      <c r="B24" s="49"/>
      <c r="C24" s="50"/>
      <c r="D24" s="51"/>
      <c r="E24" s="50"/>
      <c r="F24" s="52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90">
        <f t="shared" si="14"/>
        <v>0</v>
      </c>
      <c r="V24" s="91" t="e">
        <f t="shared" si="15"/>
        <v>#DIV/0!</v>
      </c>
      <c r="W24" s="92">
        <f t="shared" si="16"/>
        <v>0</v>
      </c>
      <c r="X24" s="92">
        <f t="shared" si="17"/>
        <v>0</v>
      </c>
      <c r="Y24" s="92">
        <f t="shared" si="18"/>
        <v>0</v>
      </c>
      <c r="Z24" s="91">
        <f t="shared" si="19"/>
        <v>0</v>
      </c>
      <c r="AA24" s="93">
        <f t="shared" si="20"/>
        <v>0</v>
      </c>
      <c r="AB24" s="99">
        <f t="shared" si="21"/>
        <v>0</v>
      </c>
      <c r="AC24" s="54">
        <f t="shared" si="22"/>
        <v>0</v>
      </c>
      <c r="AD24" s="54">
        <f t="shared" si="23"/>
        <v>3</v>
      </c>
      <c r="AE24" s="54" t="e">
        <f t="shared" si="24"/>
        <v>#DIV/0!</v>
      </c>
      <c r="AF24" s="54">
        <f t="shared" si="25"/>
        <v>0</v>
      </c>
      <c r="AG24" s="54">
        <f t="shared" si="26"/>
        <v>0</v>
      </c>
      <c r="AH24" s="54">
        <f t="shared" si="27"/>
        <v>0</v>
      </c>
      <c r="AI24" s="55" t="e">
        <f t="shared" si="28"/>
        <v>#DIV/0!</v>
      </c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113"/>
      <c r="BB24" s="110"/>
      <c r="BC24" s="110"/>
      <c r="BD24" s="110"/>
      <c r="BE24" s="110"/>
      <c r="BF24" s="110"/>
      <c r="BG24" s="110"/>
      <c r="BH24" s="110"/>
      <c r="BI24" s="113"/>
      <c r="BJ24" s="110"/>
      <c r="BK24" s="110"/>
      <c r="BL24" s="110"/>
      <c r="BM24" s="110"/>
      <c r="BN24" s="113"/>
      <c r="BO24" s="110"/>
      <c r="BP24" s="110"/>
      <c r="BQ24" s="110"/>
      <c r="BR24" s="110"/>
      <c r="BS24" s="110"/>
      <c r="BT24" s="110"/>
      <c r="BU24" s="110"/>
      <c r="BV24" s="110"/>
      <c r="BW24" s="110"/>
      <c r="BX24" s="113"/>
      <c r="BY24" s="110"/>
      <c r="BZ24" s="110"/>
      <c r="CA24" s="110"/>
      <c r="CB24" s="110"/>
      <c r="CC24" s="110"/>
      <c r="CD24" s="110"/>
      <c r="CE24" s="110"/>
      <c r="CF24" s="110"/>
      <c r="CG24" s="113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66"/>
      <c r="DA24" s="70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56"/>
      <c r="DR24" s="57">
        <f t="shared" si="29"/>
        <v>-50</v>
      </c>
      <c r="DS24" s="58">
        <f t="shared" si="30"/>
        <v>-100</v>
      </c>
      <c r="DT24" s="58">
        <f t="shared" si="31"/>
        <v>-25</v>
      </c>
      <c r="DU24" s="58">
        <f t="shared" si="32"/>
        <v>-25</v>
      </c>
      <c r="DV24" s="58">
        <f t="shared" si="33"/>
        <v>-20</v>
      </c>
      <c r="DW24" s="58">
        <f t="shared" si="34"/>
        <v>-25</v>
      </c>
      <c r="DX24" s="58">
        <f t="shared" si="35"/>
        <v>-100</v>
      </c>
      <c r="DY24" s="58">
        <f t="shared" si="36"/>
        <v>-20</v>
      </c>
      <c r="DZ24" s="59" t="b">
        <f t="shared" si="37"/>
        <v>0</v>
      </c>
      <c r="EA24" s="60">
        <f t="shared" si="38"/>
        <v>-44</v>
      </c>
      <c r="EB24" s="61">
        <f t="shared" si="39"/>
        <v>-38</v>
      </c>
      <c r="EC24" s="62">
        <f t="shared" si="40"/>
        <v>-45.625</v>
      </c>
      <c r="ED24" s="2">
        <f>B24</f>
        <v>0</v>
      </c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80">
        <f t="shared" si="59"/>
        <v>0</v>
      </c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5">
        <f t="shared" si="41"/>
        <v>0</v>
      </c>
      <c r="FH24" s="84">
        <f t="shared" si="42"/>
        <v>-25</v>
      </c>
      <c r="FI24" s="64"/>
      <c r="FJ24" s="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8"/>
      <c r="GK24" s="9">
        <f t="shared" si="43"/>
        <v>0</v>
      </c>
      <c r="GL24" s="9">
        <f t="shared" si="44"/>
        <v>0</v>
      </c>
      <c r="GM24" s="9">
        <f t="shared" si="45"/>
        <v>0</v>
      </c>
      <c r="GN24" s="9">
        <f t="shared" si="46"/>
        <v>0</v>
      </c>
      <c r="GO24" s="9">
        <f t="shared" si="47"/>
        <v>0</v>
      </c>
      <c r="GP24" s="9">
        <f t="shared" si="48"/>
        <v>0</v>
      </c>
      <c r="GQ24" s="9">
        <f t="shared" si="49"/>
        <v>0</v>
      </c>
      <c r="GR24" s="9">
        <f t="shared" si="50"/>
        <v>0</v>
      </c>
      <c r="GS24" s="9">
        <f t="shared" si="51"/>
        <v>0</v>
      </c>
      <c r="GT24" s="9">
        <f t="shared" si="52"/>
        <v>0</v>
      </c>
      <c r="GU24" s="9">
        <f t="shared" si="53"/>
        <v>0</v>
      </c>
      <c r="GV24" s="9">
        <f t="shared" si="54"/>
        <v>0</v>
      </c>
      <c r="GW24" s="9">
        <f t="shared" si="55"/>
        <v>0</v>
      </c>
      <c r="GX24" s="77">
        <f t="shared" si="56"/>
        <v>0</v>
      </c>
      <c r="GY24" s="77">
        <f t="shared" si="57"/>
        <v>0</v>
      </c>
      <c r="GZ24" s="77">
        <f t="shared" si="58"/>
        <v>0</v>
      </c>
    </row>
    <row r="25" spans="1:208">
      <c r="A25" s="48"/>
      <c r="B25" s="49"/>
      <c r="C25" s="50"/>
      <c r="D25" s="51"/>
      <c r="E25" s="50"/>
      <c r="F25" s="5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90">
        <f t="shared" si="14"/>
        <v>0</v>
      </c>
      <c r="V25" s="91" t="e">
        <f t="shared" si="15"/>
        <v>#DIV/0!</v>
      </c>
      <c r="W25" s="92">
        <f t="shared" si="16"/>
        <v>0</v>
      </c>
      <c r="X25" s="92">
        <f t="shared" si="17"/>
        <v>0</v>
      </c>
      <c r="Y25" s="92">
        <f t="shared" si="18"/>
        <v>0</v>
      </c>
      <c r="Z25" s="91">
        <f t="shared" si="19"/>
        <v>0</v>
      </c>
      <c r="AA25" s="93">
        <f t="shared" si="20"/>
        <v>0</v>
      </c>
      <c r="AB25" s="99">
        <f t="shared" si="21"/>
        <v>0</v>
      </c>
      <c r="AC25" s="54">
        <f t="shared" si="22"/>
        <v>0</v>
      </c>
      <c r="AD25" s="54">
        <f t="shared" si="23"/>
        <v>3</v>
      </c>
      <c r="AE25" s="54" t="e">
        <f t="shared" si="24"/>
        <v>#DIV/0!</v>
      </c>
      <c r="AF25" s="54">
        <f t="shared" si="25"/>
        <v>0</v>
      </c>
      <c r="AG25" s="54">
        <f t="shared" si="26"/>
        <v>0</v>
      </c>
      <c r="AH25" s="54">
        <f t="shared" si="27"/>
        <v>0</v>
      </c>
      <c r="AI25" s="55" t="e">
        <f t="shared" si="28"/>
        <v>#DIV/0!</v>
      </c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113"/>
      <c r="BB25" s="110"/>
      <c r="BC25" s="110"/>
      <c r="BD25" s="110"/>
      <c r="BE25" s="110"/>
      <c r="BF25" s="110"/>
      <c r="BG25" s="110"/>
      <c r="BH25" s="110"/>
      <c r="BI25" s="113"/>
      <c r="BJ25" s="110"/>
      <c r="BK25" s="110"/>
      <c r="BL25" s="110"/>
      <c r="BM25" s="110"/>
      <c r="BN25" s="113"/>
      <c r="BO25" s="110"/>
      <c r="BP25" s="110"/>
      <c r="BQ25" s="110"/>
      <c r="BR25" s="110"/>
      <c r="BS25" s="110"/>
      <c r="BT25" s="110"/>
      <c r="BU25" s="110"/>
      <c r="BV25" s="110"/>
      <c r="BW25" s="110"/>
      <c r="BX25" s="113"/>
      <c r="BY25" s="110"/>
      <c r="BZ25" s="110"/>
      <c r="CA25" s="110"/>
      <c r="CB25" s="110"/>
      <c r="CC25" s="110"/>
      <c r="CD25" s="110"/>
      <c r="CE25" s="110"/>
      <c r="CF25" s="110"/>
      <c r="CG25" s="113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66"/>
      <c r="DA25" s="70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56"/>
      <c r="DR25" s="57">
        <f t="shared" si="29"/>
        <v>-50</v>
      </c>
      <c r="DS25" s="58">
        <f t="shared" si="30"/>
        <v>-100</v>
      </c>
      <c r="DT25" s="58">
        <f t="shared" si="31"/>
        <v>-25</v>
      </c>
      <c r="DU25" s="58">
        <f t="shared" si="32"/>
        <v>-25</v>
      </c>
      <c r="DV25" s="58">
        <f t="shared" si="33"/>
        <v>-20</v>
      </c>
      <c r="DW25" s="58">
        <f t="shared" si="34"/>
        <v>-25</v>
      </c>
      <c r="DX25" s="58">
        <f t="shared" si="35"/>
        <v>-100</v>
      </c>
      <c r="DY25" s="58">
        <f t="shared" si="36"/>
        <v>-20</v>
      </c>
      <c r="DZ25" s="59" t="b">
        <f t="shared" si="37"/>
        <v>0</v>
      </c>
      <c r="EA25" s="60">
        <f t="shared" si="38"/>
        <v>-44</v>
      </c>
      <c r="EB25" s="61">
        <f t="shared" si="39"/>
        <v>-38</v>
      </c>
      <c r="EC25" s="62">
        <f t="shared" si="40"/>
        <v>-45.625</v>
      </c>
      <c r="ED25" s="2">
        <f>B25</f>
        <v>0</v>
      </c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80">
        <f t="shared" si="59"/>
        <v>0</v>
      </c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5">
        <f t="shared" si="41"/>
        <v>0</v>
      </c>
      <c r="FH25" s="84">
        <f t="shared" si="42"/>
        <v>-25</v>
      </c>
      <c r="FI25" s="64"/>
      <c r="FJ25" s="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8"/>
      <c r="GK25" s="9">
        <f t="shared" si="43"/>
        <v>0</v>
      </c>
      <c r="GL25" s="9">
        <f t="shared" si="44"/>
        <v>0</v>
      </c>
      <c r="GM25" s="9">
        <f t="shared" si="45"/>
        <v>0</v>
      </c>
      <c r="GN25" s="9">
        <f t="shared" si="46"/>
        <v>0</v>
      </c>
      <c r="GO25" s="9">
        <f t="shared" si="47"/>
        <v>0</v>
      </c>
      <c r="GP25" s="9">
        <f t="shared" si="48"/>
        <v>0</v>
      </c>
      <c r="GQ25" s="9">
        <f t="shared" si="49"/>
        <v>0</v>
      </c>
      <c r="GR25" s="9">
        <f t="shared" si="50"/>
        <v>0</v>
      </c>
      <c r="GS25" s="9">
        <f t="shared" si="51"/>
        <v>0</v>
      </c>
      <c r="GT25" s="9">
        <f t="shared" si="52"/>
        <v>0</v>
      </c>
      <c r="GU25" s="9">
        <f t="shared" si="53"/>
        <v>0</v>
      </c>
      <c r="GV25" s="9">
        <f t="shared" si="54"/>
        <v>0</v>
      </c>
      <c r="GW25" s="9">
        <f t="shared" si="55"/>
        <v>0</v>
      </c>
      <c r="GX25" s="77">
        <f t="shared" si="56"/>
        <v>0</v>
      </c>
      <c r="GY25" s="77">
        <f t="shared" si="57"/>
        <v>0</v>
      </c>
      <c r="GZ25" s="77">
        <f t="shared" si="58"/>
        <v>0</v>
      </c>
    </row>
    <row r="26" spans="1:208">
      <c r="A26" s="48"/>
      <c r="B26" s="49"/>
      <c r="C26" s="50"/>
      <c r="D26" s="51"/>
      <c r="E26" s="50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90">
        <f t="shared" si="14"/>
        <v>0</v>
      </c>
      <c r="V26" s="91" t="e">
        <f t="shared" si="15"/>
        <v>#DIV/0!</v>
      </c>
      <c r="W26" s="92">
        <f t="shared" si="16"/>
        <v>0</v>
      </c>
      <c r="X26" s="92">
        <f t="shared" si="17"/>
        <v>0</v>
      </c>
      <c r="Y26" s="92">
        <f t="shared" si="18"/>
        <v>0</v>
      </c>
      <c r="Z26" s="91">
        <f t="shared" si="19"/>
        <v>0</v>
      </c>
      <c r="AA26" s="93">
        <f t="shared" si="20"/>
        <v>0</v>
      </c>
      <c r="AB26" s="99">
        <f t="shared" si="21"/>
        <v>0</v>
      </c>
      <c r="AC26" s="54">
        <f t="shared" si="22"/>
        <v>0</v>
      </c>
      <c r="AD26" s="54">
        <f t="shared" si="23"/>
        <v>3</v>
      </c>
      <c r="AE26" s="54" t="e">
        <f t="shared" si="24"/>
        <v>#DIV/0!</v>
      </c>
      <c r="AF26" s="54">
        <f t="shared" si="25"/>
        <v>0</v>
      </c>
      <c r="AG26" s="54">
        <f t="shared" si="26"/>
        <v>0</v>
      </c>
      <c r="AH26" s="54">
        <f t="shared" si="27"/>
        <v>0</v>
      </c>
      <c r="AI26" s="55" t="e">
        <f t="shared" si="28"/>
        <v>#DIV/0!</v>
      </c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113"/>
      <c r="BB26" s="110"/>
      <c r="BC26" s="110"/>
      <c r="BD26" s="110"/>
      <c r="BE26" s="110"/>
      <c r="BF26" s="110"/>
      <c r="BG26" s="110"/>
      <c r="BH26" s="110"/>
      <c r="BI26" s="113"/>
      <c r="BJ26" s="110"/>
      <c r="BK26" s="110"/>
      <c r="BL26" s="110"/>
      <c r="BM26" s="110"/>
      <c r="BN26" s="113"/>
      <c r="BO26" s="110"/>
      <c r="BP26" s="110"/>
      <c r="BQ26" s="110"/>
      <c r="BR26" s="110"/>
      <c r="BS26" s="110"/>
      <c r="BT26" s="110"/>
      <c r="BU26" s="110"/>
      <c r="BV26" s="110"/>
      <c r="BW26" s="110"/>
      <c r="BX26" s="113"/>
      <c r="BY26" s="110"/>
      <c r="BZ26" s="110"/>
      <c r="CA26" s="110"/>
      <c r="CB26" s="110"/>
      <c r="CC26" s="110"/>
      <c r="CD26" s="110"/>
      <c r="CE26" s="110"/>
      <c r="CF26" s="110"/>
      <c r="CG26" s="113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66"/>
      <c r="DA26" s="70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56"/>
      <c r="DR26" s="57">
        <f t="shared" si="29"/>
        <v>-50</v>
      </c>
      <c r="DS26" s="58">
        <f t="shared" si="30"/>
        <v>-100</v>
      </c>
      <c r="DT26" s="58">
        <f t="shared" si="31"/>
        <v>-25</v>
      </c>
      <c r="DU26" s="58">
        <f t="shared" si="32"/>
        <v>-25</v>
      </c>
      <c r="DV26" s="58">
        <f t="shared" si="33"/>
        <v>-20</v>
      </c>
      <c r="DW26" s="58">
        <f t="shared" si="34"/>
        <v>-25</v>
      </c>
      <c r="DX26" s="58">
        <f t="shared" si="35"/>
        <v>-100</v>
      </c>
      <c r="DY26" s="58">
        <f t="shared" si="36"/>
        <v>-20</v>
      </c>
      <c r="DZ26" s="59" t="b">
        <f t="shared" si="37"/>
        <v>0</v>
      </c>
      <c r="EA26" s="60">
        <f t="shared" si="38"/>
        <v>-44</v>
      </c>
      <c r="EB26" s="61">
        <f t="shared" si="39"/>
        <v>-38</v>
      </c>
      <c r="EC26" s="62">
        <f t="shared" si="40"/>
        <v>-45.625</v>
      </c>
      <c r="ED26" s="2">
        <f>B26</f>
        <v>0</v>
      </c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80">
        <f t="shared" si="59"/>
        <v>0</v>
      </c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5">
        <f t="shared" si="41"/>
        <v>0</v>
      </c>
      <c r="FH26" s="84">
        <f t="shared" si="42"/>
        <v>-25</v>
      </c>
      <c r="FI26" s="64"/>
      <c r="FJ26" s="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8"/>
      <c r="GK26" s="9">
        <f t="shared" si="43"/>
        <v>0</v>
      </c>
      <c r="GL26" s="9">
        <f t="shared" si="44"/>
        <v>0</v>
      </c>
      <c r="GM26" s="9">
        <f t="shared" si="45"/>
        <v>0</v>
      </c>
      <c r="GN26" s="9">
        <f t="shared" si="46"/>
        <v>0</v>
      </c>
      <c r="GO26" s="9">
        <f t="shared" si="47"/>
        <v>0</v>
      </c>
      <c r="GP26" s="9">
        <f t="shared" si="48"/>
        <v>0</v>
      </c>
      <c r="GQ26" s="9">
        <f t="shared" si="49"/>
        <v>0</v>
      </c>
      <c r="GR26" s="9">
        <f t="shared" si="50"/>
        <v>0</v>
      </c>
      <c r="GS26" s="9">
        <f t="shared" si="51"/>
        <v>0</v>
      </c>
      <c r="GT26" s="9">
        <f t="shared" si="52"/>
        <v>0</v>
      </c>
      <c r="GU26" s="9">
        <f t="shared" si="53"/>
        <v>0</v>
      </c>
      <c r="GV26" s="9">
        <f t="shared" si="54"/>
        <v>0</v>
      </c>
      <c r="GW26" s="9">
        <f t="shared" si="55"/>
        <v>0</v>
      </c>
      <c r="GX26" s="77">
        <f t="shared" si="56"/>
        <v>0</v>
      </c>
      <c r="GY26" s="77">
        <f t="shared" si="57"/>
        <v>0</v>
      </c>
      <c r="GZ26" s="77">
        <f t="shared" si="58"/>
        <v>0</v>
      </c>
    </row>
    <row r="27" spans="1:208">
      <c r="A27" s="48"/>
      <c r="B27" s="49"/>
      <c r="C27" s="50"/>
      <c r="D27" s="51"/>
      <c r="E27" s="50"/>
      <c r="F27" s="52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90">
        <f t="shared" si="14"/>
        <v>0</v>
      </c>
      <c r="V27" s="91" t="e">
        <f t="shared" si="15"/>
        <v>#DIV/0!</v>
      </c>
      <c r="W27" s="92">
        <f t="shared" si="16"/>
        <v>0</v>
      </c>
      <c r="X27" s="92">
        <f t="shared" si="17"/>
        <v>0</v>
      </c>
      <c r="Y27" s="92">
        <f t="shared" si="18"/>
        <v>0</v>
      </c>
      <c r="Z27" s="91">
        <f t="shared" si="19"/>
        <v>0</v>
      </c>
      <c r="AA27" s="93">
        <f t="shared" si="20"/>
        <v>0</v>
      </c>
      <c r="AB27" s="99">
        <f t="shared" si="21"/>
        <v>0</v>
      </c>
      <c r="AC27" s="54">
        <f t="shared" si="22"/>
        <v>0</v>
      </c>
      <c r="AD27" s="54">
        <f t="shared" si="23"/>
        <v>3</v>
      </c>
      <c r="AE27" s="54" t="e">
        <f t="shared" si="24"/>
        <v>#DIV/0!</v>
      </c>
      <c r="AF27" s="54">
        <f t="shared" si="25"/>
        <v>0</v>
      </c>
      <c r="AG27" s="54">
        <f t="shared" si="26"/>
        <v>0</v>
      </c>
      <c r="AH27" s="54">
        <f t="shared" si="27"/>
        <v>0</v>
      </c>
      <c r="AI27" s="55" t="e">
        <f t="shared" si="28"/>
        <v>#DIV/0!</v>
      </c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113"/>
      <c r="BB27" s="110"/>
      <c r="BC27" s="110"/>
      <c r="BD27" s="110"/>
      <c r="BE27" s="110"/>
      <c r="BF27" s="110"/>
      <c r="BG27" s="110"/>
      <c r="BH27" s="110"/>
      <c r="BI27" s="113"/>
      <c r="BJ27" s="110"/>
      <c r="BK27" s="110"/>
      <c r="BL27" s="110"/>
      <c r="BM27" s="110"/>
      <c r="BN27" s="113"/>
      <c r="BO27" s="110"/>
      <c r="BP27" s="110"/>
      <c r="BQ27" s="110"/>
      <c r="BR27" s="110"/>
      <c r="BS27" s="110"/>
      <c r="BT27" s="110"/>
      <c r="BU27" s="110"/>
      <c r="BV27" s="110"/>
      <c r="BW27" s="110"/>
      <c r="BX27" s="113"/>
      <c r="BY27" s="110"/>
      <c r="BZ27" s="110"/>
      <c r="CA27" s="110"/>
      <c r="CB27" s="110"/>
      <c r="CC27" s="110"/>
      <c r="CD27" s="110"/>
      <c r="CE27" s="110"/>
      <c r="CF27" s="110"/>
      <c r="CG27" s="113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66"/>
      <c r="DA27" s="70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56"/>
      <c r="DR27" s="57">
        <f t="shared" si="29"/>
        <v>-50</v>
      </c>
      <c r="DS27" s="58">
        <f t="shared" si="30"/>
        <v>-100</v>
      </c>
      <c r="DT27" s="58">
        <f t="shared" si="31"/>
        <v>-25</v>
      </c>
      <c r="DU27" s="58">
        <f t="shared" si="32"/>
        <v>-25</v>
      </c>
      <c r="DV27" s="58">
        <f t="shared" si="33"/>
        <v>-20</v>
      </c>
      <c r="DW27" s="58">
        <f t="shared" si="34"/>
        <v>-25</v>
      </c>
      <c r="DX27" s="58">
        <f t="shared" si="35"/>
        <v>-100</v>
      </c>
      <c r="DY27" s="58">
        <f t="shared" si="36"/>
        <v>-20</v>
      </c>
      <c r="DZ27" s="59" t="b">
        <f t="shared" si="37"/>
        <v>0</v>
      </c>
      <c r="EA27" s="60">
        <f t="shared" si="38"/>
        <v>-44</v>
      </c>
      <c r="EB27" s="61">
        <f t="shared" si="39"/>
        <v>-38</v>
      </c>
      <c r="EC27" s="62">
        <f t="shared" si="40"/>
        <v>-45.625</v>
      </c>
      <c r="ED27" s="2">
        <f>B27</f>
        <v>0</v>
      </c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80">
        <f t="shared" si="59"/>
        <v>0</v>
      </c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5">
        <f t="shared" si="41"/>
        <v>0</v>
      </c>
      <c r="FH27" s="84">
        <f t="shared" si="42"/>
        <v>-25</v>
      </c>
      <c r="FI27" s="64"/>
      <c r="FJ27" s="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8"/>
      <c r="GK27" s="9">
        <f t="shared" si="43"/>
        <v>0</v>
      </c>
      <c r="GL27" s="9">
        <f t="shared" si="44"/>
        <v>0</v>
      </c>
      <c r="GM27" s="9">
        <f t="shared" si="45"/>
        <v>0</v>
      </c>
      <c r="GN27" s="9">
        <f t="shared" si="46"/>
        <v>0</v>
      </c>
      <c r="GO27" s="9">
        <f t="shared" si="47"/>
        <v>0</v>
      </c>
      <c r="GP27" s="9">
        <f t="shared" si="48"/>
        <v>0</v>
      </c>
      <c r="GQ27" s="9">
        <f t="shared" si="49"/>
        <v>0</v>
      </c>
      <c r="GR27" s="9">
        <f t="shared" si="50"/>
        <v>0</v>
      </c>
      <c r="GS27" s="9">
        <f t="shared" si="51"/>
        <v>0</v>
      </c>
      <c r="GT27" s="9">
        <f t="shared" si="52"/>
        <v>0</v>
      </c>
      <c r="GU27" s="9">
        <f t="shared" si="53"/>
        <v>0</v>
      </c>
      <c r="GV27" s="9">
        <f t="shared" si="54"/>
        <v>0</v>
      </c>
      <c r="GW27" s="9">
        <f t="shared" si="55"/>
        <v>0</v>
      </c>
      <c r="GX27" s="77">
        <f t="shared" si="56"/>
        <v>0</v>
      </c>
      <c r="GY27" s="77">
        <f t="shared" si="57"/>
        <v>0</v>
      </c>
      <c r="GZ27" s="77">
        <f t="shared" si="58"/>
        <v>0</v>
      </c>
    </row>
    <row r="28" spans="1:208">
      <c r="A28" s="48"/>
      <c r="B28" s="49"/>
      <c r="C28" s="50"/>
      <c r="D28" s="51"/>
      <c r="E28" s="50"/>
      <c r="F28" s="52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90">
        <f t="shared" si="14"/>
        <v>0</v>
      </c>
      <c r="V28" s="91" t="e">
        <f t="shared" si="15"/>
        <v>#DIV/0!</v>
      </c>
      <c r="W28" s="92">
        <f t="shared" si="16"/>
        <v>0</v>
      </c>
      <c r="X28" s="92">
        <f t="shared" si="17"/>
        <v>0</v>
      </c>
      <c r="Y28" s="92">
        <f t="shared" si="18"/>
        <v>0</v>
      </c>
      <c r="Z28" s="91">
        <f t="shared" si="19"/>
        <v>0</v>
      </c>
      <c r="AA28" s="93">
        <f t="shared" si="20"/>
        <v>0</v>
      </c>
      <c r="AB28" s="99">
        <f t="shared" si="21"/>
        <v>0</v>
      </c>
      <c r="AC28" s="54">
        <f t="shared" si="22"/>
        <v>0</v>
      </c>
      <c r="AD28" s="54">
        <f t="shared" si="23"/>
        <v>3</v>
      </c>
      <c r="AE28" s="54" t="e">
        <f t="shared" si="24"/>
        <v>#DIV/0!</v>
      </c>
      <c r="AF28" s="54">
        <f t="shared" si="25"/>
        <v>0</v>
      </c>
      <c r="AG28" s="54">
        <f t="shared" si="26"/>
        <v>0</v>
      </c>
      <c r="AH28" s="54">
        <f t="shared" si="27"/>
        <v>0</v>
      </c>
      <c r="AI28" s="55" t="e">
        <f t="shared" si="28"/>
        <v>#DIV/0!</v>
      </c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113"/>
      <c r="BB28" s="110"/>
      <c r="BC28" s="110"/>
      <c r="BD28" s="110"/>
      <c r="BE28" s="110"/>
      <c r="BF28" s="110"/>
      <c r="BG28" s="110"/>
      <c r="BH28" s="110"/>
      <c r="BI28" s="113"/>
      <c r="BJ28" s="110"/>
      <c r="BK28" s="110"/>
      <c r="BL28" s="110"/>
      <c r="BM28" s="110"/>
      <c r="BN28" s="113"/>
      <c r="BO28" s="110"/>
      <c r="BP28" s="110"/>
      <c r="BQ28" s="110"/>
      <c r="BR28" s="110"/>
      <c r="BS28" s="110"/>
      <c r="BT28" s="110"/>
      <c r="BU28" s="110"/>
      <c r="BV28" s="110"/>
      <c r="BW28" s="110"/>
      <c r="BX28" s="113"/>
      <c r="BY28" s="110"/>
      <c r="BZ28" s="110"/>
      <c r="CA28" s="110"/>
      <c r="CB28" s="110"/>
      <c r="CC28" s="110"/>
      <c r="CD28" s="110"/>
      <c r="CE28" s="110"/>
      <c r="CF28" s="110"/>
      <c r="CG28" s="113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66"/>
      <c r="DA28" s="70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56"/>
      <c r="DR28" s="57">
        <f t="shared" si="29"/>
        <v>-50</v>
      </c>
      <c r="DS28" s="58">
        <f t="shared" si="30"/>
        <v>-100</v>
      </c>
      <c r="DT28" s="58">
        <f t="shared" si="31"/>
        <v>-25</v>
      </c>
      <c r="DU28" s="58">
        <f t="shared" si="32"/>
        <v>-25</v>
      </c>
      <c r="DV28" s="58">
        <f t="shared" si="33"/>
        <v>-20</v>
      </c>
      <c r="DW28" s="58">
        <f t="shared" si="34"/>
        <v>-25</v>
      </c>
      <c r="DX28" s="58">
        <f t="shared" si="35"/>
        <v>-100</v>
      </c>
      <c r="DY28" s="58">
        <f t="shared" si="36"/>
        <v>-20</v>
      </c>
      <c r="DZ28" s="59" t="b">
        <f t="shared" si="37"/>
        <v>0</v>
      </c>
      <c r="EA28" s="60">
        <f t="shared" si="38"/>
        <v>-44</v>
      </c>
      <c r="EB28" s="61">
        <f t="shared" si="39"/>
        <v>-38</v>
      </c>
      <c r="EC28" s="62">
        <f t="shared" si="40"/>
        <v>-45.625</v>
      </c>
      <c r="ED28" s="2">
        <f>B28</f>
        <v>0</v>
      </c>
      <c r="EE28" s="63"/>
      <c r="EF28" s="63"/>
      <c r="EG28" s="63"/>
      <c r="EH28" s="63"/>
      <c r="EI28" s="63"/>
      <c r="EJ28" s="63"/>
      <c r="EK28" s="63"/>
      <c r="EL28" s="63"/>
      <c r="EM28" s="63"/>
      <c r="EN28" s="63"/>
      <c r="EO28" s="63"/>
      <c r="EP28" s="63"/>
      <c r="EQ28" s="63"/>
      <c r="ER28" s="63"/>
      <c r="ES28" s="63"/>
      <c r="ET28" s="63"/>
      <c r="EU28" s="80">
        <f t="shared" si="59"/>
        <v>0</v>
      </c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5">
        <f t="shared" si="41"/>
        <v>0</v>
      </c>
      <c r="FH28" s="84">
        <f t="shared" si="42"/>
        <v>-25</v>
      </c>
      <c r="FI28" s="64"/>
      <c r="FJ28" s="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8"/>
      <c r="GK28" s="9">
        <f t="shared" si="43"/>
        <v>0</v>
      </c>
      <c r="GL28" s="9">
        <f t="shared" si="44"/>
        <v>0</v>
      </c>
      <c r="GM28" s="9">
        <f t="shared" si="45"/>
        <v>0</v>
      </c>
      <c r="GN28" s="9">
        <f t="shared" si="46"/>
        <v>0</v>
      </c>
      <c r="GO28" s="9">
        <f t="shared" si="47"/>
        <v>0</v>
      </c>
      <c r="GP28" s="9">
        <f t="shared" si="48"/>
        <v>0</v>
      </c>
      <c r="GQ28" s="9">
        <f t="shared" si="49"/>
        <v>0</v>
      </c>
      <c r="GR28" s="9">
        <f t="shared" si="50"/>
        <v>0</v>
      </c>
      <c r="GS28" s="9">
        <f t="shared" si="51"/>
        <v>0</v>
      </c>
      <c r="GT28" s="9">
        <f t="shared" si="52"/>
        <v>0</v>
      </c>
      <c r="GU28" s="9">
        <f t="shared" si="53"/>
        <v>0</v>
      </c>
      <c r="GV28" s="9">
        <f t="shared" si="54"/>
        <v>0</v>
      </c>
      <c r="GW28" s="9">
        <f t="shared" si="55"/>
        <v>0</v>
      </c>
      <c r="GX28" s="77">
        <f t="shared" si="56"/>
        <v>0</v>
      </c>
      <c r="GY28" s="77">
        <f t="shared" si="57"/>
        <v>0</v>
      </c>
      <c r="GZ28" s="77">
        <f t="shared" si="58"/>
        <v>0</v>
      </c>
    </row>
    <row r="29" spans="1:208">
      <c r="A29" s="48"/>
      <c r="B29" s="49"/>
      <c r="C29" s="50"/>
      <c r="D29" s="51"/>
      <c r="E29" s="50"/>
      <c r="F29" s="52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90">
        <f t="shared" si="14"/>
        <v>0</v>
      </c>
      <c r="V29" s="91" t="e">
        <f t="shared" si="15"/>
        <v>#DIV/0!</v>
      </c>
      <c r="W29" s="92">
        <f t="shared" si="16"/>
        <v>0</v>
      </c>
      <c r="X29" s="92">
        <f t="shared" si="17"/>
        <v>0</v>
      </c>
      <c r="Y29" s="92">
        <f t="shared" si="18"/>
        <v>0</v>
      </c>
      <c r="Z29" s="91">
        <f t="shared" si="19"/>
        <v>0</v>
      </c>
      <c r="AA29" s="93">
        <f t="shared" si="20"/>
        <v>0</v>
      </c>
      <c r="AB29" s="99">
        <f t="shared" si="21"/>
        <v>0</v>
      </c>
      <c r="AC29" s="54">
        <f t="shared" si="22"/>
        <v>0</v>
      </c>
      <c r="AD29" s="54">
        <f t="shared" si="23"/>
        <v>3</v>
      </c>
      <c r="AE29" s="54" t="e">
        <f t="shared" si="24"/>
        <v>#DIV/0!</v>
      </c>
      <c r="AF29" s="54">
        <f t="shared" si="25"/>
        <v>0</v>
      </c>
      <c r="AG29" s="54">
        <f t="shared" si="26"/>
        <v>0</v>
      </c>
      <c r="AH29" s="54">
        <f t="shared" si="27"/>
        <v>0</v>
      </c>
      <c r="AI29" s="55" t="e">
        <f t="shared" si="28"/>
        <v>#DIV/0!</v>
      </c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113"/>
      <c r="BB29" s="110"/>
      <c r="BC29" s="110"/>
      <c r="BD29" s="110"/>
      <c r="BE29" s="110"/>
      <c r="BF29" s="110"/>
      <c r="BG29" s="110"/>
      <c r="BH29" s="110"/>
      <c r="BI29" s="113"/>
      <c r="BJ29" s="110"/>
      <c r="BK29" s="110"/>
      <c r="BL29" s="110"/>
      <c r="BM29" s="110"/>
      <c r="BN29" s="113"/>
      <c r="BO29" s="110"/>
      <c r="BP29" s="110"/>
      <c r="BQ29" s="110"/>
      <c r="BR29" s="110"/>
      <c r="BS29" s="110"/>
      <c r="BT29" s="110"/>
      <c r="BU29" s="110"/>
      <c r="BV29" s="110"/>
      <c r="BW29" s="110"/>
      <c r="BX29" s="113"/>
      <c r="BY29" s="110"/>
      <c r="BZ29" s="110"/>
      <c r="CA29" s="110"/>
      <c r="CB29" s="110"/>
      <c r="CC29" s="110"/>
      <c r="CD29" s="110"/>
      <c r="CE29" s="110"/>
      <c r="CF29" s="110"/>
      <c r="CG29" s="113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66"/>
      <c r="DA29" s="70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56"/>
      <c r="DR29" s="57">
        <f t="shared" si="29"/>
        <v>-50</v>
      </c>
      <c r="DS29" s="58">
        <f t="shared" si="30"/>
        <v>-100</v>
      </c>
      <c r="DT29" s="58">
        <f t="shared" si="31"/>
        <v>-25</v>
      </c>
      <c r="DU29" s="58">
        <f t="shared" si="32"/>
        <v>-25</v>
      </c>
      <c r="DV29" s="58">
        <f t="shared" si="33"/>
        <v>-20</v>
      </c>
      <c r="DW29" s="58">
        <f t="shared" si="34"/>
        <v>-25</v>
      </c>
      <c r="DX29" s="58">
        <f t="shared" si="35"/>
        <v>-100</v>
      </c>
      <c r="DY29" s="58">
        <f t="shared" si="36"/>
        <v>-20</v>
      </c>
      <c r="DZ29" s="59" t="b">
        <f t="shared" si="37"/>
        <v>0</v>
      </c>
      <c r="EA29" s="60">
        <f t="shared" si="38"/>
        <v>-44</v>
      </c>
      <c r="EB29" s="61">
        <f t="shared" si="39"/>
        <v>-38</v>
      </c>
      <c r="EC29" s="62">
        <f t="shared" si="40"/>
        <v>-45.625</v>
      </c>
      <c r="ED29" s="2">
        <f>B29</f>
        <v>0</v>
      </c>
      <c r="EE29" s="63"/>
      <c r="EF29" s="63"/>
      <c r="EG29" s="63"/>
      <c r="EH29" s="63"/>
      <c r="EI29" s="63"/>
      <c r="EJ29" s="63"/>
      <c r="EK29" s="63"/>
      <c r="EL29" s="63"/>
      <c r="EM29" s="63"/>
      <c r="EN29" s="63"/>
      <c r="EO29" s="63"/>
      <c r="EP29" s="63"/>
      <c r="EQ29" s="63"/>
      <c r="ER29" s="63"/>
      <c r="ES29" s="63"/>
      <c r="ET29" s="63"/>
      <c r="EU29" s="80">
        <f t="shared" si="59"/>
        <v>0</v>
      </c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5">
        <f t="shared" si="41"/>
        <v>0</v>
      </c>
      <c r="FH29" s="84">
        <f t="shared" si="42"/>
        <v>-25</v>
      </c>
      <c r="FI29" s="64"/>
      <c r="FJ29" s="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8"/>
      <c r="GK29" s="9">
        <f t="shared" si="43"/>
        <v>0</v>
      </c>
      <c r="GL29" s="9">
        <f t="shared" si="44"/>
        <v>0</v>
      </c>
      <c r="GM29" s="9">
        <f t="shared" si="45"/>
        <v>0</v>
      </c>
      <c r="GN29" s="9">
        <f t="shared" si="46"/>
        <v>0</v>
      </c>
      <c r="GO29" s="9">
        <f t="shared" si="47"/>
        <v>0</v>
      </c>
      <c r="GP29" s="9">
        <f t="shared" si="48"/>
        <v>0</v>
      </c>
      <c r="GQ29" s="9">
        <f t="shared" si="49"/>
        <v>0</v>
      </c>
      <c r="GR29" s="9">
        <f t="shared" si="50"/>
        <v>0</v>
      </c>
      <c r="GS29" s="9">
        <f t="shared" si="51"/>
        <v>0</v>
      </c>
      <c r="GT29" s="9">
        <f t="shared" si="52"/>
        <v>0</v>
      </c>
      <c r="GU29" s="9">
        <f t="shared" si="53"/>
        <v>0</v>
      </c>
      <c r="GV29" s="9">
        <f t="shared" si="54"/>
        <v>0</v>
      </c>
      <c r="GW29" s="9">
        <f t="shared" si="55"/>
        <v>0</v>
      </c>
      <c r="GX29" s="77">
        <f t="shared" si="56"/>
        <v>0</v>
      </c>
      <c r="GY29" s="77">
        <f t="shared" si="57"/>
        <v>0</v>
      </c>
      <c r="GZ29" s="77">
        <f t="shared" si="58"/>
        <v>0</v>
      </c>
    </row>
    <row r="30" spans="1:208">
      <c r="A30" s="48"/>
      <c r="B30" s="49"/>
      <c r="C30" s="50"/>
      <c r="D30" s="51"/>
      <c r="E30" s="50"/>
      <c r="F30" s="5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90">
        <f t="shared" si="14"/>
        <v>0</v>
      </c>
      <c r="V30" s="91" t="e">
        <f t="shared" si="15"/>
        <v>#DIV/0!</v>
      </c>
      <c r="W30" s="92">
        <f t="shared" si="16"/>
        <v>0</v>
      </c>
      <c r="X30" s="92">
        <f t="shared" si="17"/>
        <v>0</v>
      </c>
      <c r="Y30" s="92">
        <f t="shared" si="18"/>
        <v>0</v>
      </c>
      <c r="Z30" s="91">
        <f t="shared" si="19"/>
        <v>0</v>
      </c>
      <c r="AA30" s="93">
        <f t="shared" si="20"/>
        <v>0</v>
      </c>
      <c r="AB30" s="99">
        <f t="shared" si="21"/>
        <v>0</v>
      </c>
      <c r="AC30" s="54">
        <f t="shared" si="22"/>
        <v>0</v>
      </c>
      <c r="AD30" s="54">
        <f t="shared" si="23"/>
        <v>3</v>
      </c>
      <c r="AE30" s="54" t="e">
        <f t="shared" si="24"/>
        <v>#DIV/0!</v>
      </c>
      <c r="AF30" s="54">
        <f t="shared" si="25"/>
        <v>0</v>
      </c>
      <c r="AG30" s="54">
        <f t="shared" si="26"/>
        <v>0</v>
      </c>
      <c r="AH30" s="54">
        <f t="shared" si="27"/>
        <v>0</v>
      </c>
      <c r="AI30" s="55" t="e">
        <f t="shared" si="28"/>
        <v>#DIV/0!</v>
      </c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113"/>
      <c r="BB30" s="110"/>
      <c r="BC30" s="110"/>
      <c r="BD30" s="110"/>
      <c r="BE30" s="110"/>
      <c r="BF30" s="110"/>
      <c r="BG30" s="110"/>
      <c r="BH30" s="110"/>
      <c r="BI30" s="113"/>
      <c r="BJ30" s="110"/>
      <c r="BK30" s="110"/>
      <c r="BL30" s="110"/>
      <c r="BM30" s="110"/>
      <c r="BN30" s="113"/>
      <c r="BO30" s="110"/>
      <c r="BP30" s="110"/>
      <c r="BQ30" s="110"/>
      <c r="BR30" s="110"/>
      <c r="BS30" s="110"/>
      <c r="BT30" s="110"/>
      <c r="BU30" s="110"/>
      <c r="BV30" s="110"/>
      <c r="BW30" s="110"/>
      <c r="BX30" s="113"/>
      <c r="BY30" s="110"/>
      <c r="BZ30" s="110"/>
      <c r="CA30" s="110"/>
      <c r="CB30" s="110"/>
      <c r="CC30" s="110"/>
      <c r="CD30" s="110"/>
      <c r="CE30" s="110"/>
      <c r="CF30" s="110"/>
      <c r="CG30" s="113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66"/>
      <c r="DA30" s="70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56"/>
      <c r="DR30" s="57">
        <f t="shared" si="29"/>
        <v>-50</v>
      </c>
      <c r="DS30" s="58">
        <f t="shared" si="30"/>
        <v>-100</v>
      </c>
      <c r="DT30" s="58">
        <f t="shared" si="31"/>
        <v>-25</v>
      </c>
      <c r="DU30" s="58">
        <f t="shared" si="32"/>
        <v>-25</v>
      </c>
      <c r="DV30" s="58">
        <f t="shared" si="33"/>
        <v>-20</v>
      </c>
      <c r="DW30" s="58">
        <f t="shared" si="34"/>
        <v>-25</v>
      </c>
      <c r="DX30" s="58">
        <f t="shared" si="35"/>
        <v>-100</v>
      </c>
      <c r="DY30" s="58">
        <f t="shared" si="36"/>
        <v>-20</v>
      </c>
      <c r="DZ30" s="59" t="b">
        <f t="shared" si="37"/>
        <v>0</v>
      </c>
      <c r="EA30" s="60">
        <f t="shared" si="38"/>
        <v>-44</v>
      </c>
      <c r="EB30" s="61">
        <f t="shared" si="39"/>
        <v>-38</v>
      </c>
      <c r="EC30" s="62">
        <f t="shared" si="40"/>
        <v>-45.625</v>
      </c>
      <c r="ED30" s="2">
        <f>B30</f>
        <v>0</v>
      </c>
      <c r="EE30" s="63"/>
      <c r="EF30" s="63"/>
      <c r="EG30" s="63"/>
      <c r="EH30" s="63"/>
      <c r="EI30" s="63"/>
      <c r="EJ30" s="63"/>
      <c r="EK30" s="63"/>
      <c r="EL30" s="63"/>
      <c r="EM30" s="63"/>
      <c r="EN30" s="63"/>
      <c r="EO30" s="63"/>
      <c r="EP30" s="63"/>
      <c r="EQ30" s="63"/>
      <c r="ER30" s="63"/>
      <c r="ES30" s="63"/>
      <c r="ET30" s="63"/>
      <c r="EU30" s="80">
        <f t="shared" si="59"/>
        <v>0</v>
      </c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5">
        <f t="shared" si="41"/>
        <v>0</v>
      </c>
      <c r="FH30" s="84">
        <f t="shared" si="42"/>
        <v>-25</v>
      </c>
      <c r="FI30" s="64"/>
      <c r="FJ30" s="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8"/>
      <c r="GK30" s="9">
        <f t="shared" si="43"/>
        <v>0</v>
      </c>
      <c r="GL30" s="9">
        <f t="shared" si="44"/>
        <v>0</v>
      </c>
      <c r="GM30" s="9">
        <f t="shared" si="45"/>
        <v>0</v>
      </c>
      <c r="GN30" s="9">
        <f t="shared" si="46"/>
        <v>0</v>
      </c>
      <c r="GO30" s="9">
        <f t="shared" si="47"/>
        <v>0</v>
      </c>
      <c r="GP30" s="9">
        <f t="shared" si="48"/>
        <v>0</v>
      </c>
      <c r="GQ30" s="9">
        <f t="shared" si="49"/>
        <v>0</v>
      </c>
      <c r="GR30" s="9">
        <f t="shared" si="50"/>
        <v>0</v>
      </c>
      <c r="GS30" s="9">
        <f t="shared" si="51"/>
        <v>0</v>
      </c>
      <c r="GT30" s="9">
        <f t="shared" si="52"/>
        <v>0</v>
      </c>
      <c r="GU30" s="9">
        <f t="shared" si="53"/>
        <v>0</v>
      </c>
      <c r="GV30" s="9">
        <f t="shared" si="54"/>
        <v>0</v>
      </c>
      <c r="GW30" s="9">
        <f t="shared" si="55"/>
        <v>0</v>
      </c>
      <c r="GX30" s="77">
        <f t="shared" si="56"/>
        <v>0</v>
      </c>
      <c r="GY30" s="77">
        <f t="shared" si="57"/>
        <v>0</v>
      </c>
      <c r="GZ30" s="77">
        <f t="shared" si="58"/>
        <v>0</v>
      </c>
    </row>
    <row r="31" spans="1:208">
      <c r="A31" s="48"/>
      <c r="B31" s="49"/>
      <c r="C31" s="50"/>
      <c r="D31" s="51"/>
      <c r="E31" s="50"/>
      <c r="F31" s="52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90"/>
      <c r="V31" s="91"/>
      <c r="W31" s="92"/>
      <c r="X31" s="92"/>
      <c r="Y31" s="92"/>
      <c r="Z31" s="91"/>
      <c r="AA31" s="93"/>
      <c r="AB31" s="99"/>
      <c r="AC31" s="54"/>
      <c r="AD31" s="54"/>
      <c r="AE31" s="54"/>
      <c r="AF31" s="54"/>
      <c r="AG31" s="54"/>
      <c r="AH31" s="54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113"/>
      <c r="BB31" s="110"/>
      <c r="BC31" s="110"/>
      <c r="BD31" s="110"/>
      <c r="BE31" s="110"/>
      <c r="BF31" s="110"/>
      <c r="BG31" s="110"/>
      <c r="BH31" s="110"/>
      <c r="BI31" s="113"/>
      <c r="BJ31" s="110"/>
      <c r="BK31" s="110"/>
      <c r="BL31" s="110"/>
      <c r="BM31" s="110"/>
      <c r="BN31" s="113"/>
      <c r="BO31" s="110"/>
      <c r="BP31" s="110"/>
      <c r="BQ31" s="110"/>
      <c r="BR31" s="110"/>
      <c r="BS31" s="110"/>
      <c r="BT31" s="110"/>
      <c r="BU31" s="110"/>
      <c r="BV31" s="110"/>
      <c r="BW31" s="110"/>
      <c r="BX31" s="113"/>
      <c r="BY31" s="110"/>
      <c r="BZ31" s="110"/>
      <c r="CA31" s="110"/>
      <c r="CB31" s="110"/>
      <c r="CC31" s="110"/>
      <c r="CD31" s="110"/>
      <c r="CE31" s="110"/>
      <c r="CF31" s="110"/>
      <c r="CG31" s="113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66"/>
      <c r="DA31" s="70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56"/>
      <c r="DR31" s="57"/>
      <c r="DS31" s="58"/>
      <c r="DT31" s="58"/>
      <c r="DU31" s="58"/>
      <c r="DV31" s="58"/>
      <c r="DW31" s="58"/>
      <c r="DX31" s="58"/>
      <c r="DY31" s="58"/>
      <c r="DZ31" s="59"/>
      <c r="EA31" s="60"/>
      <c r="EB31" s="61"/>
      <c r="EC31" s="62"/>
      <c r="ED31" s="2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80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5">
        <f t="shared" si="41"/>
        <v>0</v>
      </c>
      <c r="FH31" s="84">
        <f t="shared" si="42"/>
        <v>-25</v>
      </c>
      <c r="FI31" s="64"/>
      <c r="FJ31" s="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8"/>
      <c r="GK31" s="9">
        <f t="shared" si="43"/>
        <v>0</v>
      </c>
      <c r="GL31" s="9">
        <f t="shared" si="44"/>
        <v>0</v>
      </c>
      <c r="GM31" s="9">
        <f t="shared" si="45"/>
        <v>0</v>
      </c>
      <c r="GN31" s="9">
        <f t="shared" si="46"/>
        <v>0</v>
      </c>
      <c r="GO31" s="9">
        <f t="shared" si="47"/>
        <v>0</v>
      </c>
      <c r="GP31" s="9">
        <f t="shared" si="48"/>
        <v>0</v>
      </c>
      <c r="GQ31" s="9">
        <f t="shared" si="49"/>
        <v>0</v>
      </c>
      <c r="GR31" s="9">
        <f t="shared" si="50"/>
        <v>0</v>
      </c>
      <c r="GS31" s="9">
        <f t="shared" si="51"/>
        <v>0</v>
      </c>
      <c r="GT31" s="9">
        <f t="shared" si="52"/>
        <v>0</v>
      </c>
      <c r="GU31" s="9">
        <f t="shared" si="53"/>
        <v>0</v>
      </c>
      <c r="GV31" s="9">
        <f t="shared" si="54"/>
        <v>0</v>
      </c>
      <c r="GW31" s="9">
        <f t="shared" si="55"/>
        <v>0</v>
      </c>
      <c r="GX31" s="77">
        <f t="shared" si="56"/>
        <v>0</v>
      </c>
      <c r="GY31" s="77">
        <f t="shared" si="57"/>
        <v>0</v>
      </c>
      <c r="GZ31" s="77">
        <f t="shared" si="58"/>
        <v>0</v>
      </c>
    </row>
    <row r="32" spans="1:208">
      <c r="A32" s="48"/>
      <c r="B32" s="49"/>
      <c r="C32" s="50"/>
      <c r="D32" s="51"/>
      <c r="E32" s="50"/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90"/>
      <c r="V32" s="91"/>
      <c r="W32" s="92"/>
      <c r="X32" s="92"/>
      <c r="Y32" s="92"/>
      <c r="Z32" s="91"/>
      <c r="AA32" s="93"/>
      <c r="AB32" s="99"/>
      <c r="AC32" s="54"/>
      <c r="AD32" s="54"/>
      <c r="AE32" s="54"/>
      <c r="AF32" s="54"/>
      <c r="AG32" s="54"/>
      <c r="AH32" s="54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113"/>
      <c r="BB32" s="110"/>
      <c r="BC32" s="110"/>
      <c r="BD32" s="110"/>
      <c r="BE32" s="110"/>
      <c r="BF32" s="110"/>
      <c r="BG32" s="110"/>
      <c r="BH32" s="110"/>
      <c r="BI32" s="113"/>
      <c r="BJ32" s="110"/>
      <c r="BK32" s="110"/>
      <c r="BL32" s="110"/>
      <c r="BM32" s="110"/>
      <c r="BN32" s="113"/>
      <c r="BO32" s="110"/>
      <c r="BP32" s="110"/>
      <c r="BQ32" s="110"/>
      <c r="BR32" s="110"/>
      <c r="BS32" s="110"/>
      <c r="BT32" s="110"/>
      <c r="BU32" s="110"/>
      <c r="BV32" s="110"/>
      <c r="BW32" s="110"/>
      <c r="BX32" s="113"/>
      <c r="BY32" s="110"/>
      <c r="BZ32" s="110"/>
      <c r="CA32" s="110"/>
      <c r="CB32" s="110"/>
      <c r="CC32" s="110"/>
      <c r="CD32" s="110"/>
      <c r="CE32" s="110"/>
      <c r="CF32" s="110"/>
      <c r="CG32" s="113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66"/>
      <c r="DA32" s="70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56"/>
      <c r="DR32" s="57"/>
      <c r="DS32" s="58"/>
      <c r="DT32" s="58"/>
      <c r="DU32" s="58"/>
      <c r="DV32" s="58"/>
      <c r="DW32" s="58"/>
      <c r="DX32" s="58"/>
      <c r="DY32" s="58"/>
      <c r="DZ32" s="59"/>
      <c r="EA32" s="60"/>
      <c r="EB32" s="61"/>
      <c r="EC32" s="62"/>
      <c r="ED32" s="2"/>
      <c r="EE32" s="63"/>
      <c r="EF32" s="63"/>
      <c r="EG32" s="63"/>
      <c r="EH32" s="63"/>
      <c r="EI32" s="63"/>
      <c r="EJ32" s="63"/>
      <c r="EK32" s="63"/>
      <c r="EL32" s="63"/>
      <c r="EM32" s="63"/>
      <c r="EN32" s="63"/>
      <c r="EO32" s="63"/>
      <c r="EP32" s="63"/>
      <c r="EQ32" s="63"/>
      <c r="ER32" s="63"/>
      <c r="ES32" s="63"/>
      <c r="ET32" s="63"/>
      <c r="EU32" s="80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5">
        <f t="shared" si="41"/>
        <v>0</v>
      </c>
      <c r="FH32" s="84">
        <f t="shared" si="42"/>
        <v>-25</v>
      </c>
      <c r="FI32" s="64"/>
      <c r="FJ32" s="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8"/>
      <c r="GK32" s="9">
        <f t="shared" si="43"/>
        <v>0</v>
      </c>
      <c r="GL32" s="9">
        <f t="shared" si="44"/>
        <v>0</v>
      </c>
      <c r="GM32" s="9">
        <f t="shared" si="45"/>
        <v>0</v>
      </c>
      <c r="GN32" s="9">
        <f t="shared" si="46"/>
        <v>0</v>
      </c>
      <c r="GO32" s="9">
        <f t="shared" si="47"/>
        <v>0</v>
      </c>
      <c r="GP32" s="9">
        <f t="shared" si="48"/>
        <v>0</v>
      </c>
      <c r="GQ32" s="9">
        <f t="shared" si="49"/>
        <v>0</v>
      </c>
      <c r="GR32" s="9">
        <f t="shared" si="50"/>
        <v>0</v>
      </c>
      <c r="GS32" s="9">
        <f t="shared" si="51"/>
        <v>0</v>
      </c>
      <c r="GT32" s="9">
        <f t="shared" si="52"/>
        <v>0</v>
      </c>
      <c r="GU32" s="9">
        <f t="shared" si="53"/>
        <v>0</v>
      </c>
      <c r="GV32" s="9">
        <f t="shared" si="54"/>
        <v>0</v>
      </c>
      <c r="GW32" s="9">
        <f t="shared" si="55"/>
        <v>0</v>
      </c>
      <c r="GX32" s="77">
        <f t="shared" si="56"/>
        <v>0</v>
      </c>
      <c r="GY32" s="77">
        <f t="shared" si="57"/>
        <v>0</v>
      </c>
      <c r="GZ32" s="77">
        <f t="shared" si="58"/>
        <v>0</v>
      </c>
    </row>
    <row r="33" spans="1:208">
      <c r="A33" s="48"/>
      <c r="B33" s="49"/>
      <c r="C33" s="50"/>
      <c r="D33" s="51"/>
      <c r="E33" s="50"/>
      <c r="F33" s="52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90"/>
      <c r="V33" s="91"/>
      <c r="W33" s="92"/>
      <c r="X33" s="92"/>
      <c r="Y33" s="92"/>
      <c r="Z33" s="91"/>
      <c r="AA33" s="93"/>
      <c r="AB33" s="99"/>
      <c r="AC33" s="54"/>
      <c r="AD33" s="54"/>
      <c r="AE33" s="54"/>
      <c r="AF33" s="54"/>
      <c r="AG33" s="54"/>
      <c r="AH33" s="54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113"/>
      <c r="BB33" s="110"/>
      <c r="BC33" s="110"/>
      <c r="BD33" s="110"/>
      <c r="BE33" s="110"/>
      <c r="BF33" s="110"/>
      <c r="BG33" s="110"/>
      <c r="BH33" s="110"/>
      <c r="BI33" s="113"/>
      <c r="BJ33" s="110"/>
      <c r="BK33" s="110"/>
      <c r="BL33" s="110"/>
      <c r="BM33" s="110"/>
      <c r="BN33" s="113"/>
      <c r="BO33" s="110"/>
      <c r="BP33" s="110"/>
      <c r="BQ33" s="110"/>
      <c r="BR33" s="110"/>
      <c r="BS33" s="110"/>
      <c r="BT33" s="110"/>
      <c r="BU33" s="110"/>
      <c r="BV33" s="110"/>
      <c r="BW33" s="110"/>
      <c r="BX33" s="113"/>
      <c r="BY33" s="110"/>
      <c r="BZ33" s="110"/>
      <c r="CA33" s="110"/>
      <c r="CB33" s="110"/>
      <c r="CC33" s="110"/>
      <c r="CD33" s="110"/>
      <c r="CE33" s="110"/>
      <c r="CF33" s="110"/>
      <c r="CG33" s="113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66"/>
      <c r="DA33" s="70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56"/>
      <c r="DR33" s="57"/>
      <c r="DS33" s="58"/>
      <c r="DT33" s="58"/>
      <c r="DU33" s="58"/>
      <c r="DV33" s="58"/>
      <c r="DW33" s="58"/>
      <c r="DX33" s="58"/>
      <c r="DY33" s="58"/>
      <c r="DZ33" s="59"/>
      <c r="EA33" s="60"/>
      <c r="EB33" s="61"/>
      <c r="EC33" s="62"/>
      <c r="ED33" s="2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80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5">
        <f t="shared" si="41"/>
        <v>0</v>
      </c>
      <c r="FH33" s="84">
        <f t="shared" si="42"/>
        <v>-25</v>
      </c>
      <c r="FI33" s="64"/>
      <c r="FJ33" s="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8"/>
      <c r="GK33" s="9">
        <f t="shared" si="43"/>
        <v>0</v>
      </c>
      <c r="GL33" s="9">
        <f t="shared" si="44"/>
        <v>0</v>
      </c>
      <c r="GM33" s="9">
        <f t="shared" si="45"/>
        <v>0</v>
      </c>
      <c r="GN33" s="9">
        <f t="shared" si="46"/>
        <v>0</v>
      </c>
      <c r="GO33" s="9">
        <f t="shared" si="47"/>
        <v>0</v>
      </c>
      <c r="GP33" s="9">
        <f t="shared" si="48"/>
        <v>0</v>
      </c>
      <c r="GQ33" s="9">
        <f t="shared" si="49"/>
        <v>0</v>
      </c>
      <c r="GR33" s="9">
        <f t="shared" si="50"/>
        <v>0</v>
      </c>
      <c r="GS33" s="9">
        <f t="shared" si="51"/>
        <v>0</v>
      </c>
      <c r="GT33" s="9">
        <f t="shared" si="52"/>
        <v>0</v>
      </c>
      <c r="GU33" s="9">
        <f t="shared" si="53"/>
        <v>0</v>
      </c>
      <c r="GV33" s="9">
        <f t="shared" si="54"/>
        <v>0</v>
      </c>
      <c r="GW33" s="9">
        <f t="shared" si="55"/>
        <v>0</v>
      </c>
      <c r="GX33" s="77">
        <f t="shared" si="56"/>
        <v>0</v>
      </c>
      <c r="GY33" s="77">
        <f t="shared" si="57"/>
        <v>0</v>
      </c>
      <c r="GZ33" s="77">
        <f t="shared" si="58"/>
        <v>0</v>
      </c>
    </row>
    <row r="34" spans="1:208">
      <c r="A34" s="48"/>
      <c r="B34" s="49"/>
      <c r="C34" s="50"/>
      <c r="D34" s="51"/>
      <c r="E34" s="50"/>
      <c r="F34" s="52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90"/>
      <c r="V34" s="91"/>
      <c r="W34" s="92"/>
      <c r="X34" s="92"/>
      <c r="Y34" s="92"/>
      <c r="Z34" s="91"/>
      <c r="AA34" s="93"/>
      <c r="AB34" s="99"/>
      <c r="AC34" s="54"/>
      <c r="AD34" s="54"/>
      <c r="AE34" s="54"/>
      <c r="AF34" s="54"/>
      <c r="AG34" s="54"/>
      <c r="AH34" s="54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113"/>
      <c r="BB34" s="110"/>
      <c r="BC34" s="110"/>
      <c r="BD34" s="110"/>
      <c r="BE34" s="110"/>
      <c r="BF34" s="110"/>
      <c r="BG34" s="110"/>
      <c r="BH34" s="110"/>
      <c r="BI34" s="113"/>
      <c r="BJ34" s="110"/>
      <c r="BK34" s="110"/>
      <c r="BL34" s="110"/>
      <c r="BM34" s="110"/>
      <c r="BN34" s="113"/>
      <c r="BO34" s="110"/>
      <c r="BP34" s="110"/>
      <c r="BQ34" s="110"/>
      <c r="BR34" s="110"/>
      <c r="BS34" s="110"/>
      <c r="BT34" s="110"/>
      <c r="BU34" s="110"/>
      <c r="BV34" s="110"/>
      <c r="BW34" s="110"/>
      <c r="BX34" s="113"/>
      <c r="BY34" s="110"/>
      <c r="BZ34" s="110"/>
      <c r="CA34" s="110"/>
      <c r="CB34" s="110"/>
      <c r="CC34" s="110"/>
      <c r="CD34" s="110"/>
      <c r="CE34" s="110"/>
      <c r="CF34" s="110"/>
      <c r="CG34" s="113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66"/>
      <c r="DA34" s="70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56"/>
      <c r="DR34" s="57"/>
      <c r="DS34" s="58"/>
      <c r="DT34" s="58"/>
      <c r="DU34" s="58"/>
      <c r="DV34" s="58"/>
      <c r="DW34" s="58"/>
      <c r="DX34" s="58"/>
      <c r="DY34" s="58"/>
      <c r="DZ34" s="59"/>
      <c r="EA34" s="60"/>
      <c r="EB34" s="61"/>
      <c r="EC34" s="62"/>
      <c r="ED34" s="2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80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5">
        <f t="shared" si="41"/>
        <v>0</v>
      </c>
      <c r="FH34" s="84">
        <f t="shared" si="42"/>
        <v>-25</v>
      </c>
      <c r="FI34" s="64"/>
      <c r="FJ34" s="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8"/>
      <c r="GK34" s="9">
        <f t="shared" si="43"/>
        <v>0</v>
      </c>
      <c r="GL34" s="9">
        <f t="shared" si="44"/>
        <v>0</v>
      </c>
      <c r="GM34" s="9">
        <f t="shared" si="45"/>
        <v>0</v>
      </c>
      <c r="GN34" s="9">
        <f t="shared" si="46"/>
        <v>0</v>
      </c>
      <c r="GO34" s="9">
        <f t="shared" si="47"/>
        <v>0</v>
      </c>
      <c r="GP34" s="9">
        <f t="shared" si="48"/>
        <v>0</v>
      </c>
      <c r="GQ34" s="9">
        <f t="shared" si="49"/>
        <v>0</v>
      </c>
      <c r="GR34" s="9">
        <f t="shared" si="50"/>
        <v>0</v>
      </c>
      <c r="GS34" s="9">
        <f t="shared" si="51"/>
        <v>0</v>
      </c>
      <c r="GT34" s="9">
        <f t="shared" si="52"/>
        <v>0</v>
      </c>
      <c r="GU34" s="9">
        <f t="shared" si="53"/>
        <v>0</v>
      </c>
      <c r="GV34" s="9">
        <f t="shared" si="54"/>
        <v>0</v>
      </c>
      <c r="GW34" s="9">
        <f t="shared" si="55"/>
        <v>0</v>
      </c>
      <c r="GX34" s="77">
        <f t="shared" si="56"/>
        <v>0</v>
      </c>
      <c r="GY34" s="77">
        <f t="shared" si="57"/>
        <v>0</v>
      </c>
      <c r="GZ34" s="77">
        <f t="shared" si="58"/>
        <v>0</v>
      </c>
    </row>
    <row r="35" spans="1:208">
      <c r="A35" s="48"/>
      <c r="B35" s="49"/>
      <c r="C35" s="50"/>
      <c r="D35" s="51"/>
      <c r="E35" s="50"/>
      <c r="F35" s="52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90"/>
      <c r="V35" s="91"/>
      <c r="W35" s="92"/>
      <c r="X35" s="92"/>
      <c r="Y35" s="92"/>
      <c r="Z35" s="91"/>
      <c r="AA35" s="93"/>
      <c r="AB35" s="99"/>
      <c r="AC35" s="54"/>
      <c r="AD35" s="54"/>
      <c r="AE35" s="54"/>
      <c r="AF35" s="54"/>
      <c r="AG35" s="54"/>
      <c r="AH35" s="54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113"/>
      <c r="BB35" s="110"/>
      <c r="BC35" s="110"/>
      <c r="BD35" s="110"/>
      <c r="BE35" s="110"/>
      <c r="BF35" s="110"/>
      <c r="BG35" s="110"/>
      <c r="BH35" s="110"/>
      <c r="BI35" s="113"/>
      <c r="BJ35" s="110"/>
      <c r="BK35" s="110"/>
      <c r="BL35" s="110"/>
      <c r="BM35" s="110"/>
      <c r="BN35" s="113"/>
      <c r="BO35" s="110"/>
      <c r="BP35" s="110"/>
      <c r="BQ35" s="110"/>
      <c r="BR35" s="110"/>
      <c r="BS35" s="110"/>
      <c r="BT35" s="110"/>
      <c r="BU35" s="110"/>
      <c r="BV35" s="110"/>
      <c r="BW35" s="110"/>
      <c r="BX35" s="113"/>
      <c r="BY35" s="110"/>
      <c r="BZ35" s="110"/>
      <c r="CA35" s="110"/>
      <c r="CB35" s="110"/>
      <c r="CC35" s="110"/>
      <c r="CD35" s="110"/>
      <c r="CE35" s="110"/>
      <c r="CF35" s="110"/>
      <c r="CG35" s="113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66"/>
      <c r="DA35" s="70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56"/>
      <c r="DR35" s="57"/>
      <c r="DS35" s="58"/>
      <c r="DT35" s="58"/>
      <c r="DU35" s="58"/>
      <c r="DV35" s="58"/>
      <c r="DW35" s="58"/>
      <c r="DX35" s="58"/>
      <c r="DY35" s="58"/>
      <c r="DZ35" s="59"/>
      <c r="EA35" s="60"/>
      <c r="EB35" s="61"/>
      <c r="EC35" s="62"/>
      <c r="ED35" s="2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80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5">
        <f t="shared" si="41"/>
        <v>0</v>
      </c>
      <c r="FH35" s="84">
        <f t="shared" si="42"/>
        <v>-25</v>
      </c>
      <c r="FI35" s="64"/>
      <c r="FJ35" s="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8"/>
      <c r="GK35" s="9">
        <f t="shared" si="43"/>
        <v>0</v>
      </c>
      <c r="GL35" s="9">
        <f t="shared" si="44"/>
        <v>0</v>
      </c>
      <c r="GM35" s="9">
        <f t="shared" si="45"/>
        <v>0</v>
      </c>
      <c r="GN35" s="9">
        <f t="shared" si="46"/>
        <v>0</v>
      </c>
      <c r="GO35" s="9">
        <f t="shared" si="47"/>
        <v>0</v>
      </c>
      <c r="GP35" s="9">
        <f t="shared" si="48"/>
        <v>0</v>
      </c>
      <c r="GQ35" s="9">
        <f t="shared" si="49"/>
        <v>0</v>
      </c>
      <c r="GR35" s="9">
        <f t="shared" si="50"/>
        <v>0</v>
      </c>
      <c r="GS35" s="9">
        <f t="shared" si="51"/>
        <v>0</v>
      </c>
      <c r="GT35" s="9">
        <f t="shared" si="52"/>
        <v>0</v>
      </c>
      <c r="GU35" s="9">
        <f t="shared" si="53"/>
        <v>0</v>
      </c>
      <c r="GV35" s="9">
        <f t="shared" si="54"/>
        <v>0</v>
      </c>
      <c r="GW35" s="9">
        <f t="shared" si="55"/>
        <v>0</v>
      </c>
      <c r="GX35" s="77">
        <f t="shared" si="56"/>
        <v>0</v>
      </c>
      <c r="GY35" s="77">
        <f t="shared" si="57"/>
        <v>0</v>
      </c>
      <c r="GZ35" s="77">
        <f t="shared" si="58"/>
        <v>0</v>
      </c>
    </row>
    <row r="36" spans="1:208">
      <c r="A36" s="48"/>
      <c r="B36" s="49"/>
      <c r="C36" s="50"/>
      <c r="D36" s="51"/>
      <c r="E36" s="50"/>
      <c r="F36" s="52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90"/>
      <c r="V36" s="91"/>
      <c r="W36" s="92"/>
      <c r="X36" s="92"/>
      <c r="Y36" s="92"/>
      <c r="Z36" s="91"/>
      <c r="AA36" s="93"/>
      <c r="AB36" s="99"/>
      <c r="AC36" s="54"/>
      <c r="AD36" s="54"/>
      <c r="AE36" s="54"/>
      <c r="AF36" s="54"/>
      <c r="AG36" s="54"/>
      <c r="AH36" s="54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113"/>
      <c r="BB36" s="110"/>
      <c r="BC36" s="110"/>
      <c r="BD36" s="110"/>
      <c r="BE36" s="110"/>
      <c r="BF36" s="110"/>
      <c r="BG36" s="110"/>
      <c r="BH36" s="110"/>
      <c r="BI36" s="113"/>
      <c r="BJ36" s="110"/>
      <c r="BK36" s="110"/>
      <c r="BL36" s="110"/>
      <c r="BM36" s="110"/>
      <c r="BN36" s="113"/>
      <c r="BO36" s="110"/>
      <c r="BP36" s="110"/>
      <c r="BQ36" s="110"/>
      <c r="BR36" s="110"/>
      <c r="BS36" s="110"/>
      <c r="BT36" s="110"/>
      <c r="BU36" s="110"/>
      <c r="BV36" s="110"/>
      <c r="BW36" s="110"/>
      <c r="BX36" s="113"/>
      <c r="BY36" s="110"/>
      <c r="BZ36" s="110"/>
      <c r="CA36" s="110"/>
      <c r="CB36" s="110"/>
      <c r="CC36" s="110"/>
      <c r="CD36" s="110"/>
      <c r="CE36" s="110"/>
      <c r="CF36" s="110"/>
      <c r="CG36" s="113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66"/>
      <c r="DA36" s="70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56"/>
      <c r="DR36" s="57"/>
      <c r="DS36" s="58"/>
      <c r="DT36" s="58"/>
      <c r="DU36" s="58"/>
      <c r="DV36" s="58"/>
      <c r="DW36" s="58"/>
      <c r="DX36" s="58"/>
      <c r="DY36" s="58"/>
      <c r="DZ36" s="59"/>
      <c r="EA36" s="60"/>
      <c r="EB36" s="61"/>
      <c r="EC36" s="62"/>
      <c r="ED36" s="2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80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5">
        <f t="shared" si="41"/>
        <v>0</v>
      </c>
      <c r="FH36" s="84">
        <f t="shared" si="42"/>
        <v>-25</v>
      </c>
      <c r="FI36" s="64"/>
      <c r="FJ36" s="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8"/>
      <c r="GK36" s="9">
        <f t="shared" si="43"/>
        <v>0</v>
      </c>
      <c r="GL36" s="9">
        <f t="shared" si="44"/>
        <v>0</v>
      </c>
      <c r="GM36" s="9">
        <f t="shared" si="45"/>
        <v>0</v>
      </c>
      <c r="GN36" s="9">
        <f t="shared" si="46"/>
        <v>0</v>
      </c>
      <c r="GO36" s="9">
        <f t="shared" si="47"/>
        <v>0</v>
      </c>
      <c r="GP36" s="9">
        <f t="shared" si="48"/>
        <v>0</v>
      </c>
      <c r="GQ36" s="9">
        <f t="shared" si="49"/>
        <v>0</v>
      </c>
      <c r="GR36" s="9">
        <f t="shared" si="50"/>
        <v>0</v>
      </c>
      <c r="GS36" s="9">
        <f t="shared" si="51"/>
        <v>0</v>
      </c>
      <c r="GT36" s="9">
        <f t="shared" si="52"/>
        <v>0</v>
      </c>
      <c r="GU36" s="9">
        <f t="shared" si="53"/>
        <v>0</v>
      </c>
      <c r="GV36" s="9">
        <f t="shared" si="54"/>
        <v>0</v>
      </c>
      <c r="GW36" s="9">
        <f t="shared" si="55"/>
        <v>0</v>
      </c>
      <c r="GX36" s="77">
        <f t="shared" si="56"/>
        <v>0</v>
      </c>
      <c r="GY36" s="77">
        <f t="shared" si="57"/>
        <v>0</v>
      </c>
      <c r="GZ36" s="77">
        <f t="shared" si="58"/>
        <v>0</v>
      </c>
    </row>
    <row r="37" spans="1:208">
      <c r="A37" s="48"/>
      <c r="B37" s="49"/>
      <c r="C37" s="50"/>
      <c r="D37" s="51"/>
      <c r="E37" s="50"/>
      <c r="F37" s="52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90"/>
      <c r="V37" s="91"/>
      <c r="W37" s="92"/>
      <c r="X37" s="92"/>
      <c r="Y37" s="92"/>
      <c r="Z37" s="91"/>
      <c r="AA37" s="93"/>
      <c r="AB37" s="99"/>
      <c r="AC37" s="54"/>
      <c r="AD37" s="54"/>
      <c r="AE37" s="54"/>
      <c r="AF37" s="54"/>
      <c r="AG37" s="54"/>
      <c r="AH37" s="54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113"/>
      <c r="BB37" s="110"/>
      <c r="BC37" s="110"/>
      <c r="BD37" s="110"/>
      <c r="BE37" s="110"/>
      <c r="BF37" s="110"/>
      <c r="BG37" s="110"/>
      <c r="BH37" s="110"/>
      <c r="BI37" s="113"/>
      <c r="BJ37" s="110"/>
      <c r="BK37" s="110"/>
      <c r="BL37" s="110"/>
      <c r="BM37" s="110"/>
      <c r="BN37" s="113"/>
      <c r="BO37" s="110"/>
      <c r="BP37" s="110"/>
      <c r="BQ37" s="110"/>
      <c r="BR37" s="110"/>
      <c r="BS37" s="110"/>
      <c r="BT37" s="110"/>
      <c r="BU37" s="110"/>
      <c r="BV37" s="110"/>
      <c r="BW37" s="110"/>
      <c r="BX37" s="113"/>
      <c r="BY37" s="110"/>
      <c r="BZ37" s="110"/>
      <c r="CA37" s="110"/>
      <c r="CB37" s="110"/>
      <c r="CC37" s="110"/>
      <c r="CD37" s="110"/>
      <c r="CE37" s="110"/>
      <c r="CF37" s="110"/>
      <c r="CG37" s="113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66"/>
      <c r="DA37" s="70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56"/>
      <c r="DR37" s="57"/>
      <c r="DS37" s="58"/>
      <c r="DT37" s="58"/>
      <c r="DU37" s="58"/>
      <c r="DV37" s="58"/>
      <c r="DW37" s="58"/>
      <c r="DX37" s="58"/>
      <c r="DY37" s="58"/>
      <c r="DZ37" s="59"/>
      <c r="EA37" s="60"/>
      <c r="EB37" s="61"/>
      <c r="EC37" s="62"/>
      <c r="ED37" s="2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80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5">
        <f t="shared" si="41"/>
        <v>0</v>
      </c>
      <c r="FH37" s="84">
        <f t="shared" si="42"/>
        <v>-25</v>
      </c>
      <c r="FI37" s="64"/>
      <c r="FJ37" s="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8"/>
      <c r="GK37" s="9">
        <f t="shared" si="43"/>
        <v>0</v>
      </c>
      <c r="GL37" s="9">
        <f t="shared" si="44"/>
        <v>0</v>
      </c>
      <c r="GM37" s="9">
        <f t="shared" si="45"/>
        <v>0</v>
      </c>
      <c r="GN37" s="9">
        <f t="shared" si="46"/>
        <v>0</v>
      </c>
      <c r="GO37" s="9">
        <f t="shared" si="47"/>
        <v>0</v>
      </c>
      <c r="GP37" s="9">
        <f t="shared" si="48"/>
        <v>0</v>
      </c>
      <c r="GQ37" s="9">
        <f t="shared" si="49"/>
        <v>0</v>
      </c>
      <c r="GR37" s="9">
        <f t="shared" si="50"/>
        <v>0</v>
      </c>
      <c r="GS37" s="9">
        <f t="shared" si="51"/>
        <v>0</v>
      </c>
      <c r="GT37" s="9">
        <f t="shared" si="52"/>
        <v>0</v>
      </c>
      <c r="GU37" s="9">
        <f t="shared" si="53"/>
        <v>0</v>
      </c>
      <c r="GV37" s="9">
        <f t="shared" si="54"/>
        <v>0</v>
      </c>
      <c r="GW37" s="9">
        <f t="shared" si="55"/>
        <v>0</v>
      </c>
      <c r="GX37" s="77">
        <f t="shared" si="56"/>
        <v>0</v>
      </c>
      <c r="GY37" s="77">
        <f t="shared" si="57"/>
        <v>0</v>
      </c>
      <c r="GZ37" s="77">
        <f t="shared" si="58"/>
        <v>0</v>
      </c>
    </row>
    <row r="38" spans="1:208">
      <c r="A38" s="48"/>
      <c r="B38" s="49"/>
      <c r="C38" s="50"/>
      <c r="D38" s="51"/>
      <c r="E38" s="50"/>
      <c r="F38" s="52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90"/>
      <c r="V38" s="91"/>
      <c r="W38" s="92"/>
      <c r="X38" s="92"/>
      <c r="Y38" s="92"/>
      <c r="Z38" s="91"/>
      <c r="AA38" s="93"/>
      <c r="AB38" s="99"/>
      <c r="AC38" s="54"/>
      <c r="AD38" s="54"/>
      <c r="AE38" s="54"/>
      <c r="AF38" s="54"/>
      <c r="AG38" s="54"/>
      <c r="AH38" s="54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113"/>
      <c r="BB38" s="110"/>
      <c r="BC38" s="110"/>
      <c r="BD38" s="110"/>
      <c r="BE38" s="110"/>
      <c r="BF38" s="110"/>
      <c r="BG38" s="110"/>
      <c r="BH38" s="110"/>
      <c r="BI38" s="113"/>
      <c r="BJ38" s="110"/>
      <c r="BK38" s="110"/>
      <c r="BL38" s="110"/>
      <c r="BM38" s="110"/>
      <c r="BN38" s="113"/>
      <c r="BO38" s="110"/>
      <c r="BP38" s="110"/>
      <c r="BQ38" s="110"/>
      <c r="BR38" s="110"/>
      <c r="BS38" s="110"/>
      <c r="BT38" s="110"/>
      <c r="BU38" s="110"/>
      <c r="BV38" s="110"/>
      <c r="BW38" s="110"/>
      <c r="BX38" s="113"/>
      <c r="BY38" s="110"/>
      <c r="BZ38" s="110"/>
      <c r="CA38" s="110"/>
      <c r="CB38" s="110"/>
      <c r="CC38" s="110"/>
      <c r="CD38" s="110"/>
      <c r="CE38" s="110"/>
      <c r="CF38" s="110"/>
      <c r="CG38" s="113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66"/>
      <c r="DA38" s="70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56"/>
      <c r="DR38" s="57"/>
      <c r="DS38" s="58"/>
      <c r="DT38" s="58"/>
      <c r="DU38" s="58"/>
      <c r="DV38" s="58"/>
      <c r="DW38" s="58"/>
      <c r="DX38" s="58"/>
      <c r="DY38" s="58"/>
      <c r="DZ38" s="59"/>
      <c r="EA38" s="60"/>
      <c r="EB38" s="61"/>
      <c r="EC38" s="62"/>
      <c r="ED38" s="2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80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5">
        <f t="shared" si="41"/>
        <v>0</v>
      </c>
      <c r="FH38" s="84">
        <f t="shared" si="42"/>
        <v>-25</v>
      </c>
      <c r="FI38" s="64"/>
      <c r="FJ38" s="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8"/>
      <c r="GK38" s="9">
        <f t="shared" si="43"/>
        <v>0</v>
      </c>
      <c r="GL38" s="9">
        <f t="shared" si="44"/>
        <v>0</v>
      </c>
      <c r="GM38" s="9">
        <f t="shared" si="45"/>
        <v>0</v>
      </c>
      <c r="GN38" s="9">
        <f t="shared" si="46"/>
        <v>0</v>
      </c>
      <c r="GO38" s="9">
        <f t="shared" si="47"/>
        <v>0</v>
      </c>
      <c r="GP38" s="9">
        <f t="shared" si="48"/>
        <v>0</v>
      </c>
      <c r="GQ38" s="9">
        <f t="shared" si="49"/>
        <v>0</v>
      </c>
      <c r="GR38" s="9">
        <f t="shared" si="50"/>
        <v>0</v>
      </c>
      <c r="GS38" s="9">
        <f t="shared" si="51"/>
        <v>0</v>
      </c>
      <c r="GT38" s="9">
        <f t="shared" si="52"/>
        <v>0</v>
      </c>
      <c r="GU38" s="9">
        <f t="shared" si="53"/>
        <v>0</v>
      </c>
      <c r="GV38" s="9">
        <f t="shared" si="54"/>
        <v>0</v>
      </c>
      <c r="GW38" s="9">
        <f t="shared" si="55"/>
        <v>0</v>
      </c>
      <c r="GX38" s="77">
        <f t="shared" si="56"/>
        <v>0</v>
      </c>
      <c r="GY38" s="77">
        <f t="shared" si="57"/>
        <v>0</v>
      </c>
      <c r="GZ38" s="77">
        <f t="shared" si="58"/>
        <v>0</v>
      </c>
    </row>
    <row r="39" spans="1:208">
      <c r="A39" s="48"/>
      <c r="B39" s="49"/>
      <c r="C39" s="50"/>
      <c r="D39" s="51"/>
      <c r="E39" s="50"/>
      <c r="F39" s="52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90"/>
      <c r="V39" s="91"/>
      <c r="W39" s="92"/>
      <c r="X39" s="92"/>
      <c r="Y39" s="92"/>
      <c r="Z39" s="91"/>
      <c r="AA39" s="93"/>
      <c r="AB39" s="99"/>
      <c r="AC39" s="54"/>
      <c r="AD39" s="54"/>
      <c r="AE39" s="54"/>
      <c r="AF39" s="54"/>
      <c r="AG39" s="54"/>
      <c r="AH39" s="54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113"/>
      <c r="BB39" s="110"/>
      <c r="BC39" s="110"/>
      <c r="BD39" s="110"/>
      <c r="BE39" s="110"/>
      <c r="BF39" s="110"/>
      <c r="BG39" s="110"/>
      <c r="BH39" s="110"/>
      <c r="BI39" s="113"/>
      <c r="BJ39" s="110"/>
      <c r="BK39" s="110"/>
      <c r="BL39" s="110"/>
      <c r="BM39" s="110"/>
      <c r="BN39" s="113"/>
      <c r="BO39" s="110"/>
      <c r="BP39" s="110"/>
      <c r="BQ39" s="110"/>
      <c r="BR39" s="110"/>
      <c r="BS39" s="110"/>
      <c r="BT39" s="110"/>
      <c r="BU39" s="110"/>
      <c r="BV39" s="110"/>
      <c r="BW39" s="110"/>
      <c r="BX39" s="113"/>
      <c r="BY39" s="110"/>
      <c r="BZ39" s="110"/>
      <c r="CA39" s="110"/>
      <c r="CB39" s="110"/>
      <c r="CC39" s="110"/>
      <c r="CD39" s="110"/>
      <c r="CE39" s="110"/>
      <c r="CF39" s="110"/>
      <c r="CG39" s="113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66"/>
      <c r="DA39" s="70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56"/>
      <c r="DR39" s="57"/>
      <c r="DS39" s="58"/>
      <c r="DT39" s="58"/>
      <c r="DU39" s="58"/>
      <c r="DV39" s="58"/>
      <c r="DW39" s="58"/>
      <c r="DX39" s="58"/>
      <c r="DY39" s="58"/>
      <c r="DZ39" s="59"/>
      <c r="EA39" s="60"/>
      <c r="EB39" s="61"/>
      <c r="EC39" s="62"/>
      <c r="ED39" s="2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80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5">
        <f t="shared" si="41"/>
        <v>0</v>
      </c>
      <c r="FH39" s="84">
        <f t="shared" si="42"/>
        <v>-25</v>
      </c>
      <c r="FI39" s="64"/>
      <c r="FJ39" s="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8"/>
      <c r="GK39" s="9">
        <f t="shared" si="43"/>
        <v>0</v>
      </c>
      <c r="GL39" s="9">
        <f t="shared" si="44"/>
        <v>0</v>
      </c>
      <c r="GM39" s="9">
        <f t="shared" si="45"/>
        <v>0</v>
      </c>
      <c r="GN39" s="9">
        <f t="shared" si="46"/>
        <v>0</v>
      </c>
      <c r="GO39" s="9">
        <f t="shared" si="47"/>
        <v>0</v>
      </c>
      <c r="GP39" s="9">
        <f t="shared" si="48"/>
        <v>0</v>
      </c>
      <c r="GQ39" s="9">
        <f t="shared" si="49"/>
        <v>0</v>
      </c>
      <c r="GR39" s="9">
        <f t="shared" si="50"/>
        <v>0</v>
      </c>
      <c r="GS39" s="9">
        <f t="shared" si="51"/>
        <v>0</v>
      </c>
      <c r="GT39" s="9">
        <f t="shared" si="52"/>
        <v>0</v>
      </c>
      <c r="GU39" s="9">
        <f t="shared" si="53"/>
        <v>0</v>
      </c>
      <c r="GV39" s="9">
        <f t="shared" si="54"/>
        <v>0</v>
      </c>
      <c r="GW39" s="9">
        <f t="shared" si="55"/>
        <v>0</v>
      </c>
      <c r="GX39" s="77">
        <f t="shared" si="56"/>
        <v>0</v>
      </c>
      <c r="GY39" s="77">
        <f t="shared" si="57"/>
        <v>0</v>
      </c>
      <c r="GZ39" s="77">
        <f t="shared" si="58"/>
        <v>0</v>
      </c>
    </row>
    <row r="40" spans="1:208">
      <c r="A40" s="48"/>
      <c r="B40" s="49"/>
      <c r="C40" s="50"/>
      <c r="D40" s="51"/>
      <c r="E40" s="50"/>
      <c r="F40" s="52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90"/>
      <c r="V40" s="91"/>
      <c r="W40" s="92"/>
      <c r="X40" s="92"/>
      <c r="Y40" s="92"/>
      <c r="Z40" s="91"/>
      <c r="AA40" s="93"/>
      <c r="AB40" s="99"/>
      <c r="AC40" s="54"/>
      <c r="AD40" s="54"/>
      <c r="AE40" s="54"/>
      <c r="AF40" s="54"/>
      <c r="AG40" s="54"/>
      <c r="AH40" s="54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113"/>
      <c r="BB40" s="110"/>
      <c r="BC40" s="110"/>
      <c r="BD40" s="110"/>
      <c r="BE40" s="110"/>
      <c r="BF40" s="110"/>
      <c r="BG40" s="110"/>
      <c r="BH40" s="110"/>
      <c r="BI40" s="113"/>
      <c r="BJ40" s="110"/>
      <c r="BK40" s="110"/>
      <c r="BL40" s="110"/>
      <c r="BM40" s="110"/>
      <c r="BN40" s="113"/>
      <c r="BO40" s="110"/>
      <c r="BP40" s="110"/>
      <c r="BQ40" s="110"/>
      <c r="BR40" s="110"/>
      <c r="BS40" s="110"/>
      <c r="BT40" s="110"/>
      <c r="BU40" s="110"/>
      <c r="BV40" s="110"/>
      <c r="BW40" s="110"/>
      <c r="BX40" s="113"/>
      <c r="BY40" s="110"/>
      <c r="BZ40" s="110"/>
      <c r="CA40" s="110"/>
      <c r="CB40" s="110"/>
      <c r="CC40" s="110"/>
      <c r="CD40" s="110"/>
      <c r="CE40" s="110"/>
      <c r="CF40" s="110"/>
      <c r="CG40" s="113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66"/>
      <c r="DA40" s="70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56"/>
      <c r="DR40" s="57"/>
      <c r="DS40" s="58"/>
      <c r="DT40" s="58"/>
      <c r="DU40" s="58"/>
      <c r="DV40" s="58"/>
      <c r="DW40" s="58"/>
      <c r="DX40" s="58"/>
      <c r="DY40" s="58"/>
      <c r="DZ40" s="59"/>
      <c r="EA40" s="60"/>
      <c r="EB40" s="61"/>
      <c r="EC40" s="62"/>
      <c r="ED40" s="2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80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5">
        <f t="shared" si="41"/>
        <v>0</v>
      </c>
      <c r="FH40" s="84">
        <f t="shared" si="42"/>
        <v>-25</v>
      </c>
      <c r="FI40" s="64"/>
      <c r="FJ40" s="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8"/>
      <c r="GK40" s="9">
        <f t="shared" si="43"/>
        <v>0</v>
      </c>
      <c r="GL40" s="9">
        <f t="shared" si="44"/>
        <v>0</v>
      </c>
      <c r="GM40" s="9">
        <f t="shared" si="45"/>
        <v>0</v>
      </c>
      <c r="GN40" s="9">
        <f t="shared" si="46"/>
        <v>0</v>
      </c>
      <c r="GO40" s="9">
        <f t="shared" si="47"/>
        <v>0</v>
      </c>
      <c r="GP40" s="9">
        <f t="shared" si="48"/>
        <v>0</v>
      </c>
      <c r="GQ40" s="9">
        <f t="shared" si="49"/>
        <v>0</v>
      </c>
      <c r="GR40" s="9">
        <f t="shared" si="50"/>
        <v>0</v>
      </c>
      <c r="GS40" s="9">
        <f t="shared" si="51"/>
        <v>0</v>
      </c>
      <c r="GT40" s="9">
        <f t="shared" si="52"/>
        <v>0</v>
      </c>
      <c r="GU40" s="9">
        <f t="shared" si="53"/>
        <v>0</v>
      </c>
      <c r="GV40" s="9">
        <f t="shared" si="54"/>
        <v>0</v>
      </c>
      <c r="GW40" s="9">
        <f t="shared" si="55"/>
        <v>0</v>
      </c>
      <c r="GX40" s="77">
        <f t="shared" si="56"/>
        <v>0</v>
      </c>
      <c r="GY40" s="77">
        <f t="shared" si="57"/>
        <v>0</v>
      </c>
      <c r="GZ40" s="77">
        <f t="shared" si="58"/>
        <v>0</v>
      </c>
    </row>
    <row r="41" spans="1:208">
      <c r="A41" s="48"/>
      <c r="B41" s="49"/>
      <c r="C41" s="50"/>
      <c r="D41" s="51"/>
      <c r="E41" s="50"/>
      <c r="F41" s="52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90"/>
      <c r="V41" s="91"/>
      <c r="W41" s="92"/>
      <c r="X41" s="92"/>
      <c r="Y41" s="92"/>
      <c r="Z41" s="91"/>
      <c r="AA41" s="93"/>
      <c r="AB41" s="99"/>
      <c r="AC41" s="54"/>
      <c r="AD41" s="54"/>
      <c r="AE41" s="54"/>
      <c r="AF41" s="54"/>
      <c r="AG41" s="54"/>
      <c r="AH41" s="54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113"/>
      <c r="BB41" s="110"/>
      <c r="BC41" s="110"/>
      <c r="BD41" s="110"/>
      <c r="BE41" s="110"/>
      <c r="BF41" s="110"/>
      <c r="BG41" s="110"/>
      <c r="BH41" s="110"/>
      <c r="BI41" s="113"/>
      <c r="BJ41" s="110"/>
      <c r="BK41" s="110"/>
      <c r="BL41" s="110"/>
      <c r="BM41" s="110"/>
      <c r="BN41" s="113"/>
      <c r="BO41" s="110"/>
      <c r="BP41" s="110"/>
      <c r="BQ41" s="110"/>
      <c r="BR41" s="110"/>
      <c r="BS41" s="110"/>
      <c r="BT41" s="110"/>
      <c r="BU41" s="110"/>
      <c r="BV41" s="110"/>
      <c r="BW41" s="110"/>
      <c r="BX41" s="113"/>
      <c r="BY41" s="110"/>
      <c r="BZ41" s="110"/>
      <c r="CA41" s="110"/>
      <c r="CB41" s="110"/>
      <c r="CC41" s="110"/>
      <c r="CD41" s="110"/>
      <c r="CE41" s="110"/>
      <c r="CF41" s="110"/>
      <c r="CG41" s="113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66"/>
      <c r="DA41" s="70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56"/>
      <c r="DR41" s="57"/>
      <c r="DS41" s="58"/>
      <c r="DT41" s="58"/>
      <c r="DU41" s="58"/>
      <c r="DV41" s="58"/>
      <c r="DW41" s="58"/>
      <c r="DX41" s="58"/>
      <c r="DY41" s="58"/>
      <c r="DZ41" s="59"/>
      <c r="EA41" s="60"/>
      <c r="EB41" s="61"/>
      <c r="EC41" s="62"/>
      <c r="ED41" s="2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3"/>
      <c r="EQ41" s="63"/>
      <c r="ER41" s="63"/>
      <c r="ES41" s="63"/>
      <c r="ET41" s="63"/>
      <c r="EU41" s="80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5">
        <f t="shared" si="41"/>
        <v>0</v>
      </c>
      <c r="FH41" s="84">
        <f t="shared" si="42"/>
        <v>-25</v>
      </c>
      <c r="FI41" s="64"/>
      <c r="FJ41" s="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8"/>
      <c r="GK41" s="9">
        <f t="shared" si="43"/>
        <v>0</v>
      </c>
      <c r="GL41" s="9">
        <f t="shared" si="44"/>
        <v>0</v>
      </c>
      <c r="GM41" s="9">
        <f t="shared" si="45"/>
        <v>0</v>
      </c>
      <c r="GN41" s="9">
        <f t="shared" si="46"/>
        <v>0</v>
      </c>
      <c r="GO41" s="9">
        <f t="shared" si="47"/>
        <v>0</v>
      </c>
      <c r="GP41" s="9">
        <f t="shared" si="48"/>
        <v>0</v>
      </c>
      <c r="GQ41" s="9">
        <f t="shared" si="49"/>
        <v>0</v>
      </c>
      <c r="GR41" s="9">
        <f t="shared" si="50"/>
        <v>0</v>
      </c>
      <c r="GS41" s="9">
        <f t="shared" si="51"/>
        <v>0</v>
      </c>
      <c r="GT41" s="9">
        <f t="shared" si="52"/>
        <v>0</v>
      </c>
      <c r="GU41" s="9">
        <f t="shared" si="53"/>
        <v>0</v>
      </c>
      <c r="GV41" s="9">
        <f t="shared" si="54"/>
        <v>0</v>
      </c>
      <c r="GW41" s="9">
        <f t="shared" si="55"/>
        <v>0</v>
      </c>
      <c r="GX41" s="77">
        <f t="shared" si="56"/>
        <v>0</v>
      </c>
      <c r="GY41" s="77">
        <f t="shared" si="57"/>
        <v>0</v>
      </c>
      <c r="GZ41" s="77">
        <f t="shared" si="58"/>
        <v>0</v>
      </c>
    </row>
    <row r="42" spans="1:208">
      <c r="A42" s="48"/>
      <c r="B42" s="49"/>
      <c r="C42" s="50"/>
      <c r="D42" s="51"/>
      <c r="E42" s="50"/>
      <c r="F42" s="52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90"/>
      <c r="V42" s="91"/>
      <c r="W42" s="92"/>
      <c r="X42" s="92"/>
      <c r="Y42" s="92"/>
      <c r="Z42" s="91"/>
      <c r="AA42" s="93"/>
      <c r="AB42" s="99"/>
      <c r="AC42" s="54"/>
      <c r="AD42" s="54"/>
      <c r="AE42" s="54"/>
      <c r="AF42" s="54"/>
      <c r="AG42" s="54"/>
      <c r="AH42" s="54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113"/>
      <c r="BB42" s="110"/>
      <c r="BC42" s="110"/>
      <c r="BD42" s="110"/>
      <c r="BE42" s="110"/>
      <c r="BF42" s="110"/>
      <c r="BG42" s="110"/>
      <c r="BH42" s="110"/>
      <c r="BI42" s="113"/>
      <c r="BJ42" s="110"/>
      <c r="BK42" s="110"/>
      <c r="BL42" s="110"/>
      <c r="BM42" s="110"/>
      <c r="BN42" s="113"/>
      <c r="BO42" s="110"/>
      <c r="BP42" s="110"/>
      <c r="BQ42" s="110"/>
      <c r="BR42" s="110"/>
      <c r="BS42" s="110"/>
      <c r="BT42" s="110"/>
      <c r="BU42" s="110"/>
      <c r="BV42" s="110"/>
      <c r="BW42" s="110"/>
      <c r="BX42" s="113"/>
      <c r="BY42" s="110"/>
      <c r="BZ42" s="110"/>
      <c r="CA42" s="110"/>
      <c r="CB42" s="110"/>
      <c r="CC42" s="110"/>
      <c r="CD42" s="110"/>
      <c r="CE42" s="110"/>
      <c r="CF42" s="110"/>
      <c r="CG42" s="113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66"/>
      <c r="DA42" s="70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56"/>
      <c r="DR42" s="57"/>
      <c r="DS42" s="58"/>
      <c r="DT42" s="58"/>
      <c r="DU42" s="58"/>
      <c r="DV42" s="58"/>
      <c r="DW42" s="58"/>
      <c r="DX42" s="58"/>
      <c r="DY42" s="58"/>
      <c r="DZ42" s="59"/>
      <c r="EA42" s="60"/>
      <c r="EB42" s="61"/>
      <c r="EC42" s="62"/>
      <c r="ED42" s="2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80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5">
        <f t="shared" si="41"/>
        <v>0</v>
      </c>
      <c r="FH42" s="84">
        <f t="shared" si="42"/>
        <v>-25</v>
      </c>
      <c r="FI42" s="64"/>
      <c r="FJ42" s="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8"/>
      <c r="GK42" s="9">
        <f t="shared" si="43"/>
        <v>0</v>
      </c>
      <c r="GL42" s="9">
        <f t="shared" si="44"/>
        <v>0</v>
      </c>
      <c r="GM42" s="9">
        <f t="shared" si="45"/>
        <v>0</v>
      </c>
      <c r="GN42" s="9">
        <f t="shared" si="46"/>
        <v>0</v>
      </c>
      <c r="GO42" s="9">
        <f t="shared" si="47"/>
        <v>0</v>
      </c>
      <c r="GP42" s="9">
        <f t="shared" si="48"/>
        <v>0</v>
      </c>
      <c r="GQ42" s="9">
        <f t="shared" si="49"/>
        <v>0</v>
      </c>
      <c r="GR42" s="9">
        <f t="shared" si="50"/>
        <v>0</v>
      </c>
      <c r="GS42" s="9">
        <f t="shared" si="51"/>
        <v>0</v>
      </c>
      <c r="GT42" s="9">
        <f t="shared" si="52"/>
        <v>0</v>
      </c>
      <c r="GU42" s="9">
        <f t="shared" si="53"/>
        <v>0</v>
      </c>
      <c r="GV42" s="9">
        <f t="shared" si="54"/>
        <v>0</v>
      </c>
      <c r="GW42" s="9">
        <f t="shared" si="55"/>
        <v>0</v>
      </c>
      <c r="GX42" s="77">
        <f t="shared" si="56"/>
        <v>0</v>
      </c>
      <c r="GY42" s="77">
        <f t="shared" si="57"/>
        <v>0</v>
      </c>
      <c r="GZ42" s="77">
        <f t="shared" si="58"/>
        <v>0</v>
      </c>
    </row>
    <row r="43" spans="1:208">
      <c r="A43" s="48"/>
      <c r="B43" s="49"/>
      <c r="C43" s="50"/>
      <c r="D43" s="51"/>
      <c r="E43" s="50"/>
      <c r="F43" s="52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90"/>
      <c r="V43" s="91"/>
      <c r="W43" s="92"/>
      <c r="X43" s="92"/>
      <c r="Y43" s="92"/>
      <c r="Z43" s="91"/>
      <c r="AA43" s="93"/>
      <c r="AB43" s="99"/>
      <c r="AC43" s="54"/>
      <c r="AD43" s="54"/>
      <c r="AE43" s="54"/>
      <c r="AF43" s="54"/>
      <c r="AG43" s="54"/>
      <c r="AH43" s="54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113"/>
      <c r="BB43" s="110"/>
      <c r="BC43" s="110"/>
      <c r="BD43" s="110"/>
      <c r="BE43" s="110"/>
      <c r="BF43" s="110"/>
      <c r="BG43" s="110"/>
      <c r="BH43" s="110"/>
      <c r="BI43" s="113"/>
      <c r="BJ43" s="110"/>
      <c r="BK43" s="110"/>
      <c r="BL43" s="110"/>
      <c r="BM43" s="110"/>
      <c r="BN43" s="113"/>
      <c r="BO43" s="110"/>
      <c r="BP43" s="110"/>
      <c r="BQ43" s="110"/>
      <c r="BR43" s="110"/>
      <c r="BS43" s="110"/>
      <c r="BT43" s="110"/>
      <c r="BU43" s="110"/>
      <c r="BV43" s="110"/>
      <c r="BW43" s="110"/>
      <c r="BX43" s="113"/>
      <c r="BY43" s="110"/>
      <c r="BZ43" s="110"/>
      <c r="CA43" s="110"/>
      <c r="CB43" s="110"/>
      <c r="CC43" s="110"/>
      <c r="CD43" s="110"/>
      <c r="CE43" s="110"/>
      <c r="CF43" s="110"/>
      <c r="CG43" s="113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66"/>
      <c r="DA43" s="70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56"/>
      <c r="DR43" s="57"/>
      <c r="DS43" s="58"/>
      <c r="DT43" s="58"/>
      <c r="DU43" s="58"/>
      <c r="DV43" s="58"/>
      <c r="DW43" s="58"/>
      <c r="DX43" s="58"/>
      <c r="DY43" s="58"/>
      <c r="DZ43" s="59"/>
      <c r="EA43" s="60"/>
      <c r="EB43" s="61"/>
      <c r="EC43" s="62"/>
      <c r="ED43" s="2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80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5">
        <f t="shared" si="41"/>
        <v>0</v>
      </c>
      <c r="FH43" s="84">
        <f t="shared" si="42"/>
        <v>-25</v>
      </c>
      <c r="FI43" s="64"/>
      <c r="FJ43" s="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8"/>
      <c r="GK43" s="9">
        <f t="shared" si="43"/>
        <v>0</v>
      </c>
      <c r="GL43" s="9">
        <f t="shared" si="44"/>
        <v>0</v>
      </c>
      <c r="GM43" s="9">
        <f t="shared" si="45"/>
        <v>0</v>
      </c>
      <c r="GN43" s="9">
        <f t="shared" si="46"/>
        <v>0</v>
      </c>
      <c r="GO43" s="9">
        <f t="shared" si="47"/>
        <v>0</v>
      </c>
      <c r="GP43" s="9">
        <f t="shared" si="48"/>
        <v>0</v>
      </c>
      <c r="GQ43" s="9">
        <f t="shared" si="49"/>
        <v>0</v>
      </c>
      <c r="GR43" s="9">
        <f t="shared" si="50"/>
        <v>0</v>
      </c>
      <c r="GS43" s="9">
        <f t="shared" si="51"/>
        <v>0</v>
      </c>
      <c r="GT43" s="9">
        <f t="shared" si="52"/>
        <v>0</v>
      </c>
      <c r="GU43" s="9">
        <f t="shared" si="53"/>
        <v>0</v>
      </c>
      <c r="GV43" s="9">
        <f t="shared" si="54"/>
        <v>0</v>
      </c>
      <c r="GW43" s="9">
        <f t="shared" si="55"/>
        <v>0</v>
      </c>
      <c r="GX43" s="77">
        <f t="shared" si="56"/>
        <v>0</v>
      </c>
      <c r="GY43" s="77">
        <f t="shared" si="57"/>
        <v>0</v>
      </c>
      <c r="GZ43" s="77">
        <f t="shared" si="58"/>
        <v>0</v>
      </c>
    </row>
    <row r="44" spans="1:208">
      <c r="A44" s="48"/>
      <c r="B44" s="49"/>
      <c r="C44" s="50"/>
      <c r="D44" s="51"/>
      <c r="E44" s="50"/>
      <c r="F44" s="52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90"/>
      <c r="V44" s="91"/>
      <c r="W44" s="92"/>
      <c r="X44" s="92"/>
      <c r="Y44" s="92"/>
      <c r="Z44" s="91"/>
      <c r="AA44" s="93"/>
      <c r="AB44" s="99"/>
      <c r="AC44" s="54"/>
      <c r="AD44" s="54"/>
      <c r="AE44" s="54"/>
      <c r="AF44" s="54"/>
      <c r="AG44" s="54"/>
      <c r="AH44" s="54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113"/>
      <c r="BB44" s="110"/>
      <c r="BC44" s="110"/>
      <c r="BD44" s="110"/>
      <c r="BE44" s="110"/>
      <c r="BF44" s="110"/>
      <c r="BG44" s="110"/>
      <c r="BH44" s="110"/>
      <c r="BI44" s="113"/>
      <c r="BJ44" s="110"/>
      <c r="BK44" s="110"/>
      <c r="BL44" s="110"/>
      <c r="BM44" s="110"/>
      <c r="BN44" s="113"/>
      <c r="BO44" s="110"/>
      <c r="BP44" s="110"/>
      <c r="BQ44" s="110"/>
      <c r="BR44" s="110"/>
      <c r="BS44" s="110"/>
      <c r="BT44" s="110"/>
      <c r="BU44" s="110"/>
      <c r="BV44" s="110"/>
      <c r="BW44" s="110"/>
      <c r="BX44" s="113"/>
      <c r="BY44" s="110"/>
      <c r="BZ44" s="110"/>
      <c r="CA44" s="110"/>
      <c r="CB44" s="110"/>
      <c r="CC44" s="110"/>
      <c r="CD44" s="110"/>
      <c r="CE44" s="110"/>
      <c r="CF44" s="110"/>
      <c r="CG44" s="113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66"/>
      <c r="DA44" s="70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56"/>
      <c r="DR44" s="57"/>
      <c r="DS44" s="58"/>
      <c r="DT44" s="58"/>
      <c r="DU44" s="58"/>
      <c r="DV44" s="58"/>
      <c r="DW44" s="58"/>
      <c r="DX44" s="58"/>
      <c r="DY44" s="58"/>
      <c r="DZ44" s="59"/>
      <c r="EA44" s="60"/>
      <c r="EB44" s="61"/>
      <c r="EC44" s="62"/>
      <c r="ED44" s="2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80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5">
        <f t="shared" si="41"/>
        <v>0</v>
      </c>
      <c r="FH44" s="84">
        <f t="shared" si="42"/>
        <v>-25</v>
      </c>
      <c r="FI44" s="64"/>
      <c r="FJ44" s="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8"/>
      <c r="GK44" s="9">
        <f t="shared" si="43"/>
        <v>0</v>
      </c>
      <c r="GL44" s="9">
        <f t="shared" si="44"/>
        <v>0</v>
      </c>
      <c r="GM44" s="9">
        <f t="shared" si="45"/>
        <v>0</v>
      </c>
      <c r="GN44" s="9">
        <f t="shared" si="46"/>
        <v>0</v>
      </c>
      <c r="GO44" s="9">
        <f t="shared" si="47"/>
        <v>0</v>
      </c>
      <c r="GP44" s="9">
        <f t="shared" si="48"/>
        <v>0</v>
      </c>
      <c r="GQ44" s="9">
        <f t="shared" si="49"/>
        <v>0</v>
      </c>
      <c r="GR44" s="9">
        <f t="shared" si="50"/>
        <v>0</v>
      </c>
      <c r="GS44" s="9">
        <f t="shared" si="51"/>
        <v>0</v>
      </c>
      <c r="GT44" s="9">
        <f t="shared" si="52"/>
        <v>0</v>
      </c>
      <c r="GU44" s="9">
        <f t="shared" si="53"/>
        <v>0</v>
      </c>
      <c r="GV44" s="9">
        <f t="shared" si="54"/>
        <v>0</v>
      </c>
      <c r="GW44" s="9">
        <f t="shared" si="55"/>
        <v>0</v>
      </c>
      <c r="GX44" s="77">
        <f t="shared" si="56"/>
        <v>0</v>
      </c>
      <c r="GY44" s="77">
        <f t="shared" si="57"/>
        <v>0</v>
      </c>
      <c r="GZ44" s="77">
        <f t="shared" si="58"/>
        <v>0</v>
      </c>
    </row>
    <row r="45" spans="1:208">
      <c r="A45" s="48"/>
      <c r="B45" s="49"/>
      <c r="C45" s="50"/>
      <c r="D45" s="51"/>
      <c r="E45" s="50"/>
      <c r="F45" s="52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90"/>
      <c r="V45" s="91"/>
      <c r="W45" s="92"/>
      <c r="X45" s="92"/>
      <c r="Y45" s="92"/>
      <c r="Z45" s="91"/>
      <c r="AA45" s="93"/>
      <c r="AB45" s="99"/>
      <c r="AC45" s="54"/>
      <c r="AD45" s="54"/>
      <c r="AE45" s="54"/>
      <c r="AF45" s="54"/>
      <c r="AG45" s="54"/>
      <c r="AH45" s="54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113"/>
      <c r="BB45" s="110"/>
      <c r="BC45" s="110"/>
      <c r="BD45" s="110"/>
      <c r="BE45" s="110"/>
      <c r="BF45" s="110"/>
      <c r="BG45" s="110"/>
      <c r="BH45" s="110"/>
      <c r="BI45" s="113"/>
      <c r="BJ45" s="110"/>
      <c r="BK45" s="110"/>
      <c r="BL45" s="110"/>
      <c r="BM45" s="110"/>
      <c r="BN45" s="113"/>
      <c r="BO45" s="110"/>
      <c r="BP45" s="110"/>
      <c r="BQ45" s="110"/>
      <c r="BR45" s="110"/>
      <c r="BS45" s="110"/>
      <c r="BT45" s="110"/>
      <c r="BU45" s="110"/>
      <c r="BV45" s="110"/>
      <c r="BW45" s="110"/>
      <c r="BX45" s="113"/>
      <c r="BY45" s="110"/>
      <c r="BZ45" s="110"/>
      <c r="CA45" s="110"/>
      <c r="CB45" s="110"/>
      <c r="CC45" s="110"/>
      <c r="CD45" s="110"/>
      <c r="CE45" s="110"/>
      <c r="CF45" s="110"/>
      <c r="CG45" s="113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66"/>
      <c r="DA45" s="70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56"/>
      <c r="DR45" s="57"/>
      <c r="DS45" s="58"/>
      <c r="DT45" s="58"/>
      <c r="DU45" s="58"/>
      <c r="DV45" s="58"/>
      <c r="DW45" s="58"/>
      <c r="DX45" s="58"/>
      <c r="DY45" s="58"/>
      <c r="DZ45" s="59"/>
      <c r="EA45" s="60"/>
      <c r="EB45" s="61"/>
      <c r="EC45" s="62"/>
      <c r="ED45" s="2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80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5">
        <f t="shared" si="41"/>
        <v>0</v>
      </c>
      <c r="FH45" s="84">
        <f t="shared" si="42"/>
        <v>-25</v>
      </c>
      <c r="FI45" s="64"/>
      <c r="FJ45" s="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8"/>
      <c r="GK45" s="9">
        <f t="shared" si="43"/>
        <v>0</v>
      </c>
      <c r="GL45" s="9">
        <f t="shared" si="44"/>
        <v>0</v>
      </c>
      <c r="GM45" s="9">
        <f t="shared" si="45"/>
        <v>0</v>
      </c>
      <c r="GN45" s="9">
        <f t="shared" si="46"/>
        <v>0</v>
      </c>
      <c r="GO45" s="9">
        <f t="shared" si="47"/>
        <v>0</v>
      </c>
      <c r="GP45" s="9">
        <f t="shared" si="48"/>
        <v>0</v>
      </c>
      <c r="GQ45" s="9">
        <f t="shared" si="49"/>
        <v>0</v>
      </c>
      <c r="GR45" s="9">
        <f t="shared" si="50"/>
        <v>0</v>
      </c>
      <c r="GS45" s="9">
        <f t="shared" si="51"/>
        <v>0</v>
      </c>
      <c r="GT45" s="9">
        <f t="shared" si="52"/>
        <v>0</v>
      </c>
      <c r="GU45" s="9">
        <f t="shared" si="53"/>
        <v>0</v>
      </c>
      <c r="GV45" s="9">
        <f t="shared" si="54"/>
        <v>0</v>
      </c>
      <c r="GW45" s="9">
        <f t="shared" si="55"/>
        <v>0</v>
      </c>
      <c r="GX45" s="77">
        <f t="shared" si="56"/>
        <v>0</v>
      </c>
      <c r="GY45" s="77">
        <f t="shared" si="57"/>
        <v>0</v>
      </c>
      <c r="GZ45" s="77">
        <f t="shared" si="58"/>
        <v>0</v>
      </c>
    </row>
    <row r="46" spans="1:208">
      <c r="A46" s="48"/>
      <c r="B46" s="49"/>
      <c r="C46" s="50"/>
      <c r="D46" s="51"/>
      <c r="E46" s="50"/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90"/>
      <c r="V46" s="91"/>
      <c r="W46" s="92"/>
      <c r="X46" s="92"/>
      <c r="Y46" s="92"/>
      <c r="Z46" s="91"/>
      <c r="AA46" s="93"/>
      <c r="AB46" s="99"/>
      <c r="AC46" s="54"/>
      <c r="AD46" s="54"/>
      <c r="AE46" s="54"/>
      <c r="AF46" s="54"/>
      <c r="AG46" s="54"/>
      <c r="AH46" s="54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113"/>
      <c r="BB46" s="110"/>
      <c r="BC46" s="110"/>
      <c r="BD46" s="110"/>
      <c r="BE46" s="110"/>
      <c r="BF46" s="110"/>
      <c r="BG46" s="110"/>
      <c r="BH46" s="110"/>
      <c r="BI46" s="113"/>
      <c r="BJ46" s="110"/>
      <c r="BK46" s="110"/>
      <c r="BL46" s="110"/>
      <c r="BM46" s="110"/>
      <c r="BN46" s="113"/>
      <c r="BO46" s="110"/>
      <c r="BP46" s="110"/>
      <c r="BQ46" s="110"/>
      <c r="BR46" s="110"/>
      <c r="BS46" s="110"/>
      <c r="BT46" s="110"/>
      <c r="BU46" s="110"/>
      <c r="BV46" s="110"/>
      <c r="BW46" s="110"/>
      <c r="BX46" s="113"/>
      <c r="BY46" s="110"/>
      <c r="BZ46" s="110"/>
      <c r="CA46" s="110"/>
      <c r="CB46" s="110"/>
      <c r="CC46" s="110"/>
      <c r="CD46" s="110"/>
      <c r="CE46" s="110"/>
      <c r="CF46" s="110"/>
      <c r="CG46" s="113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66"/>
      <c r="DA46" s="70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56"/>
      <c r="DR46" s="57"/>
      <c r="DS46" s="58"/>
      <c r="DT46" s="58"/>
      <c r="DU46" s="58"/>
      <c r="DV46" s="58"/>
      <c r="DW46" s="58"/>
      <c r="DX46" s="58"/>
      <c r="DY46" s="58"/>
      <c r="DZ46" s="59"/>
      <c r="EA46" s="60"/>
      <c r="EB46" s="61"/>
      <c r="EC46" s="62"/>
      <c r="ED46" s="2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80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5">
        <f t="shared" si="41"/>
        <v>0</v>
      </c>
      <c r="FH46" s="84">
        <f t="shared" si="42"/>
        <v>-25</v>
      </c>
      <c r="FI46" s="64"/>
      <c r="FJ46" s="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8"/>
      <c r="GK46" s="9">
        <f t="shared" si="43"/>
        <v>0</v>
      </c>
      <c r="GL46" s="9">
        <f t="shared" si="44"/>
        <v>0</v>
      </c>
      <c r="GM46" s="9">
        <f t="shared" si="45"/>
        <v>0</v>
      </c>
      <c r="GN46" s="9">
        <f t="shared" si="46"/>
        <v>0</v>
      </c>
      <c r="GO46" s="9">
        <f t="shared" si="47"/>
        <v>0</v>
      </c>
      <c r="GP46" s="9">
        <f t="shared" si="48"/>
        <v>0</v>
      </c>
      <c r="GQ46" s="9">
        <f t="shared" si="49"/>
        <v>0</v>
      </c>
      <c r="GR46" s="9">
        <f t="shared" si="50"/>
        <v>0</v>
      </c>
      <c r="GS46" s="9">
        <f t="shared" si="51"/>
        <v>0</v>
      </c>
      <c r="GT46" s="9">
        <f t="shared" si="52"/>
        <v>0</v>
      </c>
      <c r="GU46" s="9">
        <f t="shared" si="53"/>
        <v>0</v>
      </c>
      <c r="GV46" s="9">
        <f t="shared" si="54"/>
        <v>0</v>
      </c>
      <c r="GW46" s="9">
        <f t="shared" si="55"/>
        <v>0</v>
      </c>
      <c r="GX46" s="77">
        <f t="shared" si="56"/>
        <v>0</v>
      </c>
      <c r="GY46" s="77">
        <f t="shared" si="57"/>
        <v>0</v>
      </c>
      <c r="GZ46" s="77">
        <f t="shared" si="58"/>
        <v>0</v>
      </c>
    </row>
    <row r="47" spans="1:208">
      <c r="A47" s="48"/>
      <c r="B47" s="49"/>
      <c r="C47" s="50"/>
      <c r="D47" s="51"/>
      <c r="E47" s="50"/>
      <c r="F47" s="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90"/>
      <c r="V47" s="91"/>
      <c r="W47" s="92"/>
      <c r="X47" s="92"/>
      <c r="Y47" s="92"/>
      <c r="Z47" s="91"/>
      <c r="AA47" s="93"/>
      <c r="AB47" s="99"/>
      <c r="AC47" s="54"/>
      <c r="AD47" s="54"/>
      <c r="AE47" s="54"/>
      <c r="AF47" s="54"/>
      <c r="AG47" s="54"/>
      <c r="AH47" s="54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113"/>
      <c r="BB47" s="110"/>
      <c r="BC47" s="110"/>
      <c r="BD47" s="110"/>
      <c r="BE47" s="110"/>
      <c r="BF47" s="110"/>
      <c r="BG47" s="110"/>
      <c r="BH47" s="110"/>
      <c r="BI47" s="113"/>
      <c r="BJ47" s="110"/>
      <c r="BK47" s="110"/>
      <c r="BL47" s="110"/>
      <c r="BM47" s="110"/>
      <c r="BN47" s="113"/>
      <c r="BO47" s="110"/>
      <c r="BP47" s="110"/>
      <c r="BQ47" s="110"/>
      <c r="BR47" s="110"/>
      <c r="BS47" s="110"/>
      <c r="BT47" s="110"/>
      <c r="BU47" s="110"/>
      <c r="BV47" s="110"/>
      <c r="BW47" s="110"/>
      <c r="BX47" s="113"/>
      <c r="BY47" s="110"/>
      <c r="BZ47" s="110"/>
      <c r="CA47" s="110"/>
      <c r="CB47" s="110"/>
      <c r="CC47" s="110"/>
      <c r="CD47" s="110"/>
      <c r="CE47" s="110"/>
      <c r="CF47" s="110"/>
      <c r="CG47" s="113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66"/>
      <c r="DA47" s="70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56"/>
      <c r="DR47" s="57"/>
      <c r="DS47" s="58"/>
      <c r="DT47" s="58"/>
      <c r="DU47" s="58"/>
      <c r="DV47" s="58"/>
      <c r="DW47" s="58"/>
      <c r="DX47" s="58"/>
      <c r="DY47" s="58"/>
      <c r="DZ47" s="59"/>
      <c r="EA47" s="60"/>
      <c r="EB47" s="61"/>
      <c r="EC47" s="62"/>
      <c r="ED47" s="2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80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5">
        <f t="shared" si="41"/>
        <v>0</v>
      </c>
      <c r="FH47" s="84">
        <f t="shared" si="42"/>
        <v>-25</v>
      </c>
      <c r="FI47" s="64"/>
      <c r="FJ47" s="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8"/>
      <c r="GK47" s="9">
        <f t="shared" si="43"/>
        <v>0</v>
      </c>
      <c r="GL47" s="9">
        <f t="shared" si="44"/>
        <v>0</v>
      </c>
      <c r="GM47" s="9">
        <f t="shared" si="45"/>
        <v>0</v>
      </c>
      <c r="GN47" s="9">
        <f t="shared" si="46"/>
        <v>0</v>
      </c>
      <c r="GO47" s="9">
        <f t="shared" si="47"/>
        <v>0</v>
      </c>
      <c r="GP47" s="9">
        <f t="shared" si="48"/>
        <v>0</v>
      </c>
      <c r="GQ47" s="9">
        <f t="shared" si="49"/>
        <v>0</v>
      </c>
      <c r="GR47" s="9">
        <f t="shared" si="50"/>
        <v>0</v>
      </c>
      <c r="GS47" s="9">
        <f t="shared" si="51"/>
        <v>0</v>
      </c>
      <c r="GT47" s="9">
        <f t="shared" si="52"/>
        <v>0</v>
      </c>
      <c r="GU47" s="9">
        <f t="shared" si="53"/>
        <v>0</v>
      </c>
      <c r="GV47" s="9">
        <f t="shared" si="54"/>
        <v>0</v>
      </c>
      <c r="GW47" s="9">
        <f t="shared" si="55"/>
        <v>0</v>
      </c>
      <c r="GX47" s="77">
        <f t="shared" si="56"/>
        <v>0</v>
      </c>
      <c r="GY47" s="77">
        <f t="shared" si="57"/>
        <v>0</v>
      </c>
      <c r="GZ47" s="77">
        <f t="shared" si="58"/>
        <v>0</v>
      </c>
    </row>
    <row r="48" spans="1:208">
      <c r="A48" s="48"/>
      <c r="B48" s="49"/>
      <c r="C48" s="50"/>
      <c r="D48" s="51"/>
      <c r="E48" s="50"/>
      <c r="F48" s="52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90"/>
      <c r="V48" s="91"/>
      <c r="W48" s="92"/>
      <c r="X48" s="92"/>
      <c r="Y48" s="92"/>
      <c r="Z48" s="91"/>
      <c r="AA48" s="93"/>
      <c r="AB48" s="99"/>
      <c r="AC48" s="54"/>
      <c r="AD48" s="54"/>
      <c r="AE48" s="54"/>
      <c r="AF48" s="54"/>
      <c r="AG48" s="54"/>
      <c r="AH48" s="54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113"/>
      <c r="BB48" s="110"/>
      <c r="BC48" s="110"/>
      <c r="BD48" s="110"/>
      <c r="BE48" s="110"/>
      <c r="BF48" s="110"/>
      <c r="BG48" s="110"/>
      <c r="BH48" s="110"/>
      <c r="BI48" s="113"/>
      <c r="BJ48" s="110"/>
      <c r="BK48" s="110"/>
      <c r="BL48" s="110"/>
      <c r="BM48" s="110"/>
      <c r="BN48" s="113"/>
      <c r="BO48" s="110"/>
      <c r="BP48" s="110"/>
      <c r="BQ48" s="110"/>
      <c r="BR48" s="110"/>
      <c r="BS48" s="110"/>
      <c r="BT48" s="110"/>
      <c r="BU48" s="110"/>
      <c r="BV48" s="110"/>
      <c r="BW48" s="110"/>
      <c r="BX48" s="113"/>
      <c r="BY48" s="110"/>
      <c r="BZ48" s="110"/>
      <c r="CA48" s="110"/>
      <c r="CB48" s="110"/>
      <c r="CC48" s="110"/>
      <c r="CD48" s="110"/>
      <c r="CE48" s="110"/>
      <c r="CF48" s="110"/>
      <c r="CG48" s="113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66"/>
      <c r="DA48" s="70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56"/>
      <c r="DR48" s="57"/>
      <c r="DS48" s="58"/>
      <c r="DT48" s="58"/>
      <c r="DU48" s="58"/>
      <c r="DV48" s="58"/>
      <c r="DW48" s="58"/>
      <c r="DX48" s="58"/>
      <c r="DY48" s="58"/>
      <c r="DZ48" s="59"/>
      <c r="EA48" s="60"/>
      <c r="EB48" s="61"/>
      <c r="EC48" s="62"/>
      <c r="ED48" s="2"/>
      <c r="EE48" s="63"/>
      <c r="EF48" s="63"/>
      <c r="EG48" s="63"/>
      <c r="EH48" s="63"/>
      <c r="EI48" s="63"/>
      <c r="EJ48" s="63"/>
      <c r="EK48" s="63"/>
      <c r="EL48" s="63"/>
      <c r="EM48" s="63"/>
      <c r="EN48" s="63"/>
      <c r="EO48" s="63"/>
      <c r="EP48" s="63"/>
      <c r="EQ48" s="63"/>
      <c r="ER48" s="63"/>
      <c r="ES48" s="63"/>
      <c r="ET48" s="63"/>
      <c r="EU48" s="80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5">
        <f t="shared" si="41"/>
        <v>0</v>
      </c>
      <c r="FH48" s="84">
        <f t="shared" si="42"/>
        <v>-25</v>
      </c>
      <c r="FI48" s="64"/>
      <c r="FJ48" s="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8"/>
      <c r="GK48" s="9">
        <f t="shared" si="43"/>
        <v>0</v>
      </c>
      <c r="GL48" s="9">
        <f t="shared" si="44"/>
        <v>0</v>
      </c>
      <c r="GM48" s="9">
        <f t="shared" si="45"/>
        <v>0</v>
      </c>
      <c r="GN48" s="9">
        <f t="shared" si="46"/>
        <v>0</v>
      </c>
      <c r="GO48" s="9">
        <f t="shared" si="47"/>
        <v>0</v>
      </c>
      <c r="GP48" s="9">
        <f t="shared" si="48"/>
        <v>0</v>
      </c>
      <c r="GQ48" s="9">
        <f t="shared" si="49"/>
        <v>0</v>
      </c>
      <c r="GR48" s="9">
        <f t="shared" si="50"/>
        <v>0</v>
      </c>
      <c r="GS48" s="9">
        <f t="shared" si="51"/>
        <v>0</v>
      </c>
      <c r="GT48" s="9">
        <f t="shared" si="52"/>
        <v>0</v>
      </c>
      <c r="GU48" s="9">
        <f t="shared" si="53"/>
        <v>0</v>
      </c>
      <c r="GV48" s="9">
        <f t="shared" si="54"/>
        <v>0</v>
      </c>
      <c r="GW48" s="9">
        <f t="shared" si="55"/>
        <v>0</v>
      </c>
      <c r="GX48" s="77">
        <f t="shared" si="56"/>
        <v>0</v>
      </c>
      <c r="GY48" s="77">
        <f t="shared" si="57"/>
        <v>0</v>
      </c>
      <c r="GZ48" s="77">
        <f t="shared" si="58"/>
        <v>0</v>
      </c>
    </row>
    <row r="49" spans="1:208">
      <c r="A49" s="48"/>
      <c r="B49" s="49"/>
      <c r="C49" s="50"/>
      <c r="D49" s="51"/>
      <c r="E49" s="50"/>
      <c r="F49" s="52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90"/>
      <c r="V49" s="91"/>
      <c r="W49" s="92"/>
      <c r="X49" s="92"/>
      <c r="Y49" s="92"/>
      <c r="Z49" s="91"/>
      <c r="AA49" s="93"/>
      <c r="AB49" s="99"/>
      <c r="AC49" s="54"/>
      <c r="AD49" s="54"/>
      <c r="AE49" s="54"/>
      <c r="AF49" s="54"/>
      <c r="AG49" s="54"/>
      <c r="AH49" s="54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113"/>
      <c r="BB49" s="110"/>
      <c r="BC49" s="110"/>
      <c r="BD49" s="110"/>
      <c r="BE49" s="110"/>
      <c r="BF49" s="110"/>
      <c r="BG49" s="110"/>
      <c r="BH49" s="110"/>
      <c r="BI49" s="113"/>
      <c r="BJ49" s="110"/>
      <c r="BK49" s="110"/>
      <c r="BL49" s="110"/>
      <c r="BM49" s="110"/>
      <c r="BN49" s="113"/>
      <c r="BO49" s="110"/>
      <c r="BP49" s="110"/>
      <c r="BQ49" s="110"/>
      <c r="BR49" s="110"/>
      <c r="BS49" s="110"/>
      <c r="BT49" s="110"/>
      <c r="BU49" s="110"/>
      <c r="BV49" s="110"/>
      <c r="BW49" s="110"/>
      <c r="BX49" s="113"/>
      <c r="BY49" s="110"/>
      <c r="BZ49" s="110"/>
      <c r="CA49" s="110"/>
      <c r="CB49" s="110"/>
      <c r="CC49" s="110"/>
      <c r="CD49" s="110"/>
      <c r="CE49" s="110"/>
      <c r="CF49" s="110"/>
      <c r="CG49" s="113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66"/>
      <c r="DA49" s="70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56"/>
      <c r="DR49" s="57"/>
      <c r="DS49" s="58"/>
      <c r="DT49" s="58"/>
      <c r="DU49" s="58"/>
      <c r="DV49" s="58"/>
      <c r="DW49" s="58"/>
      <c r="DX49" s="58"/>
      <c r="DY49" s="58"/>
      <c r="DZ49" s="59"/>
      <c r="EA49" s="60"/>
      <c r="EB49" s="61"/>
      <c r="EC49" s="62"/>
      <c r="ED49" s="2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80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5">
        <f t="shared" si="41"/>
        <v>0</v>
      </c>
      <c r="FH49" s="84">
        <f t="shared" si="42"/>
        <v>-25</v>
      </c>
      <c r="FI49" s="64"/>
      <c r="FJ49" s="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8"/>
      <c r="GK49" s="9">
        <f t="shared" si="43"/>
        <v>0</v>
      </c>
      <c r="GL49" s="9">
        <f t="shared" si="44"/>
        <v>0</v>
      </c>
      <c r="GM49" s="9">
        <f t="shared" si="45"/>
        <v>0</v>
      </c>
      <c r="GN49" s="9">
        <f t="shared" si="46"/>
        <v>0</v>
      </c>
      <c r="GO49" s="9">
        <f t="shared" si="47"/>
        <v>0</v>
      </c>
      <c r="GP49" s="9">
        <f t="shared" si="48"/>
        <v>0</v>
      </c>
      <c r="GQ49" s="9">
        <f t="shared" si="49"/>
        <v>0</v>
      </c>
      <c r="GR49" s="9">
        <f t="shared" si="50"/>
        <v>0</v>
      </c>
      <c r="GS49" s="9">
        <f t="shared" si="51"/>
        <v>0</v>
      </c>
      <c r="GT49" s="9">
        <f t="shared" si="52"/>
        <v>0</v>
      </c>
      <c r="GU49" s="9">
        <f t="shared" si="53"/>
        <v>0</v>
      </c>
      <c r="GV49" s="9">
        <f t="shared" si="54"/>
        <v>0</v>
      </c>
      <c r="GW49" s="9">
        <f t="shared" si="55"/>
        <v>0</v>
      </c>
      <c r="GX49" s="77">
        <f t="shared" si="56"/>
        <v>0</v>
      </c>
      <c r="GY49" s="77">
        <f t="shared" si="57"/>
        <v>0</v>
      </c>
      <c r="GZ49" s="77">
        <f t="shared" si="58"/>
        <v>0</v>
      </c>
    </row>
    <row r="50" spans="1:208">
      <c r="A50" s="48"/>
      <c r="B50" s="49"/>
      <c r="C50" s="50"/>
      <c r="D50" s="51"/>
      <c r="E50" s="50"/>
      <c r="F50" s="52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90"/>
      <c r="V50" s="91"/>
      <c r="W50" s="92"/>
      <c r="X50" s="92"/>
      <c r="Y50" s="92"/>
      <c r="Z50" s="91"/>
      <c r="AA50" s="93"/>
      <c r="AB50" s="99"/>
      <c r="AC50" s="54"/>
      <c r="AD50" s="54"/>
      <c r="AE50" s="54"/>
      <c r="AF50" s="54"/>
      <c r="AG50" s="54"/>
      <c r="AH50" s="54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113"/>
      <c r="BB50" s="110"/>
      <c r="BC50" s="110"/>
      <c r="BD50" s="110"/>
      <c r="BE50" s="110"/>
      <c r="BF50" s="110"/>
      <c r="BG50" s="110"/>
      <c r="BH50" s="110"/>
      <c r="BI50" s="113"/>
      <c r="BJ50" s="110"/>
      <c r="BK50" s="110"/>
      <c r="BL50" s="110"/>
      <c r="BM50" s="110"/>
      <c r="BN50" s="113"/>
      <c r="BO50" s="110"/>
      <c r="BP50" s="110"/>
      <c r="BQ50" s="110"/>
      <c r="BR50" s="110"/>
      <c r="BS50" s="110"/>
      <c r="BT50" s="110"/>
      <c r="BU50" s="110"/>
      <c r="BV50" s="110"/>
      <c r="BW50" s="110"/>
      <c r="BX50" s="113"/>
      <c r="BY50" s="110"/>
      <c r="BZ50" s="110"/>
      <c r="CA50" s="110"/>
      <c r="CB50" s="110"/>
      <c r="CC50" s="110"/>
      <c r="CD50" s="110"/>
      <c r="CE50" s="110"/>
      <c r="CF50" s="110"/>
      <c r="CG50" s="113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66"/>
      <c r="DA50" s="70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56"/>
      <c r="DR50" s="57"/>
      <c r="DS50" s="58"/>
      <c r="DT50" s="58"/>
      <c r="DU50" s="58"/>
      <c r="DV50" s="58"/>
      <c r="DW50" s="58"/>
      <c r="DX50" s="58"/>
      <c r="DY50" s="58"/>
      <c r="DZ50" s="59"/>
      <c r="EA50" s="60"/>
      <c r="EB50" s="61"/>
      <c r="EC50" s="62"/>
      <c r="ED50" s="2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80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5">
        <f t="shared" si="41"/>
        <v>0</v>
      </c>
      <c r="FH50" s="84">
        <f t="shared" si="42"/>
        <v>-25</v>
      </c>
      <c r="FI50" s="64"/>
      <c r="FJ50" s="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8"/>
      <c r="GG50" s="48"/>
      <c r="GH50" s="48"/>
      <c r="GI50" s="48"/>
      <c r="GJ50" s="8"/>
      <c r="GK50" s="9">
        <f t="shared" si="43"/>
        <v>0</v>
      </c>
      <c r="GL50" s="9">
        <f t="shared" si="44"/>
        <v>0</v>
      </c>
      <c r="GM50" s="9">
        <f t="shared" si="45"/>
        <v>0</v>
      </c>
      <c r="GN50" s="9">
        <f t="shared" si="46"/>
        <v>0</v>
      </c>
      <c r="GO50" s="9">
        <f t="shared" si="47"/>
        <v>0</v>
      </c>
      <c r="GP50" s="9">
        <f t="shared" si="48"/>
        <v>0</v>
      </c>
      <c r="GQ50" s="9">
        <f t="shared" si="49"/>
        <v>0</v>
      </c>
      <c r="GR50" s="9">
        <f t="shared" si="50"/>
        <v>0</v>
      </c>
      <c r="GS50" s="9">
        <f t="shared" si="51"/>
        <v>0</v>
      </c>
      <c r="GT50" s="9">
        <f t="shared" si="52"/>
        <v>0</v>
      </c>
      <c r="GU50" s="9">
        <f t="shared" si="53"/>
        <v>0</v>
      </c>
      <c r="GV50" s="9">
        <f t="shared" si="54"/>
        <v>0</v>
      </c>
      <c r="GW50" s="9">
        <f t="shared" si="55"/>
        <v>0</v>
      </c>
      <c r="GX50" s="77">
        <f t="shared" si="56"/>
        <v>0</v>
      </c>
      <c r="GY50" s="77">
        <f t="shared" si="57"/>
        <v>0</v>
      </c>
      <c r="GZ50" s="77">
        <f t="shared" si="58"/>
        <v>0</v>
      </c>
    </row>
    <row r="51" spans="1:208">
      <c r="A51" s="48"/>
      <c r="B51" s="49"/>
      <c r="C51" s="50"/>
      <c r="D51" s="51"/>
      <c r="E51" s="50"/>
      <c r="F51" s="52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90"/>
      <c r="V51" s="91"/>
      <c r="W51" s="92"/>
      <c r="X51" s="92"/>
      <c r="Y51" s="92"/>
      <c r="Z51" s="91"/>
      <c r="AA51" s="93"/>
      <c r="AB51" s="99"/>
      <c r="AC51" s="54"/>
      <c r="AD51" s="54"/>
      <c r="AE51" s="54"/>
      <c r="AF51" s="54"/>
      <c r="AG51" s="54"/>
      <c r="AH51" s="54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113"/>
      <c r="BB51" s="110"/>
      <c r="BC51" s="110"/>
      <c r="BD51" s="110"/>
      <c r="BE51" s="110"/>
      <c r="BF51" s="110"/>
      <c r="BG51" s="110"/>
      <c r="BH51" s="110"/>
      <c r="BI51" s="113"/>
      <c r="BJ51" s="110"/>
      <c r="BK51" s="110"/>
      <c r="BL51" s="110"/>
      <c r="BM51" s="110"/>
      <c r="BN51" s="113"/>
      <c r="BO51" s="110"/>
      <c r="BP51" s="110"/>
      <c r="BQ51" s="110"/>
      <c r="BR51" s="110"/>
      <c r="BS51" s="110"/>
      <c r="BT51" s="110"/>
      <c r="BU51" s="110"/>
      <c r="BV51" s="110"/>
      <c r="BW51" s="110"/>
      <c r="BX51" s="113"/>
      <c r="BY51" s="110"/>
      <c r="BZ51" s="110"/>
      <c r="CA51" s="110"/>
      <c r="CB51" s="110"/>
      <c r="CC51" s="110"/>
      <c r="CD51" s="110"/>
      <c r="CE51" s="110"/>
      <c r="CF51" s="110"/>
      <c r="CG51" s="113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66"/>
      <c r="DA51" s="70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56"/>
      <c r="DR51" s="57"/>
      <c r="DS51" s="58"/>
      <c r="DT51" s="58"/>
      <c r="DU51" s="58"/>
      <c r="DV51" s="58"/>
      <c r="DW51" s="58"/>
      <c r="DX51" s="58"/>
      <c r="DY51" s="58"/>
      <c r="DZ51" s="59"/>
      <c r="EA51" s="60"/>
      <c r="EB51" s="61"/>
      <c r="EC51" s="62"/>
      <c r="ED51" s="2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80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5">
        <f t="shared" si="41"/>
        <v>0</v>
      </c>
      <c r="FH51" s="84">
        <f t="shared" si="42"/>
        <v>-25</v>
      </c>
      <c r="FI51" s="64"/>
      <c r="FJ51" s="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8"/>
      <c r="GK51" s="9">
        <f t="shared" si="43"/>
        <v>0</v>
      </c>
      <c r="GL51" s="9">
        <f t="shared" si="44"/>
        <v>0</v>
      </c>
      <c r="GM51" s="9">
        <f t="shared" si="45"/>
        <v>0</v>
      </c>
      <c r="GN51" s="9">
        <f t="shared" si="46"/>
        <v>0</v>
      </c>
      <c r="GO51" s="9">
        <f t="shared" si="47"/>
        <v>0</v>
      </c>
      <c r="GP51" s="9">
        <f t="shared" si="48"/>
        <v>0</v>
      </c>
      <c r="GQ51" s="9">
        <f t="shared" si="49"/>
        <v>0</v>
      </c>
      <c r="GR51" s="9">
        <f t="shared" si="50"/>
        <v>0</v>
      </c>
      <c r="GS51" s="9">
        <f t="shared" si="51"/>
        <v>0</v>
      </c>
      <c r="GT51" s="9">
        <f t="shared" si="52"/>
        <v>0</v>
      </c>
      <c r="GU51" s="9">
        <f t="shared" si="53"/>
        <v>0</v>
      </c>
      <c r="GV51" s="9">
        <f t="shared" si="54"/>
        <v>0</v>
      </c>
      <c r="GW51" s="9">
        <f t="shared" si="55"/>
        <v>0</v>
      </c>
      <c r="GX51" s="77">
        <f t="shared" si="56"/>
        <v>0</v>
      </c>
      <c r="GY51" s="77">
        <f t="shared" si="57"/>
        <v>0</v>
      </c>
      <c r="GZ51" s="77">
        <f t="shared" si="58"/>
        <v>0</v>
      </c>
    </row>
    <row r="52" spans="1:208">
      <c r="A52" s="48"/>
      <c r="B52" s="49"/>
      <c r="C52" s="50"/>
      <c r="D52" s="51"/>
      <c r="E52" s="50"/>
      <c r="F52" s="52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90"/>
      <c r="V52" s="91"/>
      <c r="W52" s="92"/>
      <c r="X52" s="92"/>
      <c r="Y52" s="92"/>
      <c r="Z52" s="91"/>
      <c r="AA52" s="93"/>
      <c r="AB52" s="99"/>
      <c r="AC52" s="54"/>
      <c r="AD52" s="54"/>
      <c r="AE52" s="54"/>
      <c r="AF52" s="54"/>
      <c r="AG52" s="54"/>
      <c r="AH52" s="54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113"/>
      <c r="BB52" s="110"/>
      <c r="BC52" s="110"/>
      <c r="BD52" s="110"/>
      <c r="BE52" s="110"/>
      <c r="BF52" s="110"/>
      <c r="BG52" s="110"/>
      <c r="BH52" s="110"/>
      <c r="BI52" s="113"/>
      <c r="BJ52" s="110"/>
      <c r="BK52" s="110"/>
      <c r="BL52" s="110"/>
      <c r="BM52" s="110"/>
      <c r="BN52" s="113"/>
      <c r="BO52" s="110"/>
      <c r="BP52" s="110"/>
      <c r="BQ52" s="110"/>
      <c r="BR52" s="110"/>
      <c r="BS52" s="110"/>
      <c r="BT52" s="110"/>
      <c r="BU52" s="110"/>
      <c r="BV52" s="110"/>
      <c r="BW52" s="110"/>
      <c r="BX52" s="113"/>
      <c r="BY52" s="110"/>
      <c r="BZ52" s="110"/>
      <c r="CA52" s="110"/>
      <c r="CB52" s="110"/>
      <c r="CC52" s="110"/>
      <c r="CD52" s="110"/>
      <c r="CE52" s="110"/>
      <c r="CF52" s="110"/>
      <c r="CG52" s="113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66"/>
      <c r="DA52" s="70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56"/>
      <c r="DR52" s="57"/>
      <c r="DS52" s="58"/>
      <c r="DT52" s="58"/>
      <c r="DU52" s="58"/>
      <c r="DV52" s="58"/>
      <c r="DW52" s="58"/>
      <c r="DX52" s="58"/>
      <c r="DY52" s="58"/>
      <c r="DZ52" s="59"/>
      <c r="EA52" s="60"/>
      <c r="EB52" s="61"/>
      <c r="EC52" s="62"/>
      <c r="ED52" s="2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80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5">
        <f t="shared" si="41"/>
        <v>0</v>
      </c>
      <c r="FH52" s="84">
        <f t="shared" si="42"/>
        <v>-25</v>
      </c>
      <c r="FI52" s="64"/>
      <c r="FJ52" s="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8"/>
      <c r="GG52" s="48"/>
      <c r="GH52" s="48"/>
      <c r="GI52" s="48"/>
      <c r="GJ52" s="8"/>
      <c r="GK52" s="9">
        <f t="shared" si="43"/>
        <v>0</v>
      </c>
      <c r="GL52" s="9">
        <f t="shared" si="44"/>
        <v>0</v>
      </c>
      <c r="GM52" s="9">
        <f t="shared" si="45"/>
        <v>0</v>
      </c>
      <c r="GN52" s="9">
        <f t="shared" si="46"/>
        <v>0</v>
      </c>
      <c r="GO52" s="9">
        <f t="shared" si="47"/>
        <v>0</v>
      </c>
      <c r="GP52" s="9">
        <f t="shared" si="48"/>
        <v>0</v>
      </c>
      <c r="GQ52" s="9">
        <f t="shared" si="49"/>
        <v>0</v>
      </c>
      <c r="GR52" s="9">
        <f t="shared" si="50"/>
        <v>0</v>
      </c>
      <c r="GS52" s="9">
        <f t="shared" si="51"/>
        <v>0</v>
      </c>
      <c r="GT52" s="9">
        <f t="shared" si="52"/>
        <v>0</v>
      </c>
      <c r="GU52" s="9">
        <f t="shared" si="53"/>
        <v>0</v>
      </c>
      <c r="GV52" s="9">
        <f t="shared" si="54"/>
        <v>0</v>
      </c>
      <c r="GW52" s="9">
        <f t="shared" si="55"/>
        <v>0</v>
      </c>
      <c r="GX52" s="77">
        <f t="shared" si="56"/>
        <v>0</v>
      </c>
      <c r="GY52" s="77">
        <f t="shared" si="57"/>
        <v>0</v>
      </c>
      <c r="GZ52" s="77">
        <f t="shared" si="58"/>
        <v>0</v>
      </c>
    </row>
    <row r="53" spans="1:208">
      <c r="A53" s="48"/>
      <c r="B53" s="49"/>
      <c r="C53" s="50"/>
      <c r="D53" s="51"/>
      <c r="E53" s="50"/>
      <c r="F53" s="52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90"/>
      <c r="V53" s="91"/>
      <c r="W53" s="92"/>
      <c r="X53" s="92"/>
      <c r="Y53" s="92"/>
      <c r="Z53" s="91"/>
      <c r="AA53" s="93"/>
      <c r="AB53" s="99"/>
      <c r="AC53" s="54"/>
      <c r="AD53" s="54"/>
      <c r="AE53" s="54"/>
      <c r="AF53" s="54"/>
      <c r="AG53" s="54"/>
      <c r="AH53" s="54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113"/>
      <c r="BB53" s="110"/>
      <c r="BC53" s="110"/>
      <c r="BD53" s="110"/>
      <c r="BE53" s="110"/>
      <c r="BF53" s="110"/>
      <c r="BG53" s="110"/>
      <c r="BH53" s="110"/>
      <c r="BI53" s="113"/>
      <c r="BJ53" s="110"/>
      <c r="BK53" s="110"/>
      <c r="BL53" s="110"/>
      <c r="BM53" s="110"/>
      <c r="BN53" s="113"/>
      <c r="BO53" s="110"/>
      <c r="BP53" s="110"/>
      <c r="BQ53" s="110"/>
      <c r="BR53" s="110"/>
      <c r="BS53" s="110"/>
      <c r="BT53" s="110"/>
      <c r="BU53" s="110"/>
      <c r="BV53" s="110"/>
      <c r="BW53" s="110"/>
      <c r="BX53" s="113"/>
      <c r="BY53" s="110"/>
      <c r="BZ53" s="110"/>
      <c r="CA53" s="110"/>
      <c r="CB53" s="110"/>
      <c r="CC53" s="110"/>
      <c r="CD53" s="110"/>
      <c r="CE53" s="110"/>
      <c r="CF53" s="110"/>
      <c r="CG53" s="113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66"/>
      <c r="DA53" s="70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56"/>
      <c r="DR53" s="57"/>
      <c r="DS53" s="58"/>
      <c r="DT53" s="58"/>
      <c r="DU53" s="58"/>
      <c r="DV53" s="58"/>
      <c r="DW53" s="58"/>
      <c r="DX53" s="58"/>
      <c r="DY53" s="58"/>
      <c r="DZ53" s="59"/>
      <c r="EA53" s="60"/>
      <c r="EB53" s="61"/>
      <c r="EC53" s="62"/>
      <c r="ED53" s="2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  <c r="EP53" s="63"/>
      <c r="EQ53" s="63"/>
      <c r="ER53" s="63"/>
      <c r="ES53" s="63"/>
      <c r="ET53" s="63"/>
      <c r="EU53" s="80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5">
        <f t="shared" si="41"/>
        <v>0</v>
      </c>
      <c r="FH53" s="84">
        <f t="shared" si="42"/>
        <v>-25</v>
      </c>
      <c r="FI53" s="64"/>
      <c r="FJ53" s="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8"/>
      <c r="GK53" s="9">
        <f t="shared" si="43"/>
        <v>0</v>
      </c>
      <c r="GL53" s="9">
        <f t="shared" si="44"/>
        <v>0</v>
      </c>
      <c r="GM53" s="9">
        <f t="shared" si="45"/>
        <v>0</v>
      </c>
      <c r="GN53" s="9">
        <f t="shared" si="46"/>
        <v>0</v>
      </c>
      <c r="GO53" s="9">
        <f t="shared" si="47"/>
        <v>0</v>
      </c>
      <c r="GP53" s="9">
        <f t="shared" si="48"/>
        <v>0</v>
      </c>
      <c r="GQ53" s="9">
        <f t="shared" si="49"/>
        <v>0</v>
      </c>
      <c r="GR53" s="9">
        <f t="shared" si="50"/>
        <v>0</v>
      </c>
      <c r="GS53" s="9">
        <f t="shared" si="51"/>
        <v>0</v>
      </c>
      <c r="GT53" s="9">
        <f t="shared" si="52"/>
        <v>0</v>
      </c>
      <c r="GU53" s="9">
        <f t="shared" si="53"/>
        <v>0</v>
      </c>
      <c r="GV53" s="9">
        <f t="shared" si="54"/>
        <v>0</v>
      </c>
      <c r="GW53" s="9">
        <f t="shared" si="55"/>
        <v>0</v>
      </c>
      <c r="GX53" s="77">
        <f t="shared" si="56"/>
        <v>0</v>
      </c>
      <c r="GY53" s="77">
        <f t="shared" si="57"/>
        <v>0</v>
      </c>
      <c r="GZ53" s="77">
        <f t="shared" si="58"/>
        <v>0</v>
      </c>
    </row>
    <row r="54" spans="1:208">
      <c r="A54" s="48"/>
      <c r="B54" s="49"/>
      <c r="C54" s="50"/>
      <c r="D54" s="51"/>
      <c r="E54" s="50"/>
      <c r="F54" s="52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90"/>
      <c r="V54" s="91"/>
      <c r="W54" s="92"/>
      <c r="X54" s="92"/>
      <c r="Y54" s="92"/>
      <c r="Z54" s="91"/>
      <c r="AA54" s="93"/>
      <c r="AB54" s="99"/>
      <c r="AC54" s="54"/>
      <c r="AD54" s="54"/>
      <c r="AE54" s="54"/>
      <c r="AF54" s="54"/>
      <c r="AG54" s="54"/>
      <c r="AH54" s="54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113"/>
      <c r="BB54" s="110"/>
      <c r="BC54" s="110"/>
      <c r="BD54" s="110"/>
      <c r="BE54" s="110"/>
      <c r="BF54" s="110"/>
      <c r="BG54" s="110"/>
      <c r="BH54" s="110"/>
      <c r="BI54" s="113"/>
      <c r="BJ54" s="110"/>
      <c r="BK54" s="110"/>
      <c r="BL54" s="110"/>
      <c r="BM54" s="110"/>
      <c r="BN54" s="113"/>
      <c r="BO54" s="110"/>
      <c r="BP54" s="110"/>
      <c r="BQ54" s="110"/>
      <c r="BR54" s="110"/>
      <c r="BS54" s="110"/>
      <c r="BT54" s="110"/>
      <c r="BU54" s="110"/>
      <c r="BV54" s="110"/>
      <c r="BW54" s="110"/>
      <c r="BX54" s="113"/>
      <c r="BY54" s="110"/>
      <c r="BZ54" s="110"/>
      <c r="CA54" s="110"/>
      <c r="CB54" s="110"/>
      <c r="CC54" s="110"/>
      <c r="CD54" s="110"/>
      <c r="CE54" s="110"/>
      <c r="CF54" s="110"/>
      <c r="CG54" s="113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66"/>
      <c r="DA54" s="70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56"/>
      <c r="DR54" s="57"/>
      <c r="DS54" s="58"/>
      <c r="DT54" s="58"/>
      <c r="DU54" s="58"/>
      <c r="DV54" s="58"/>
      <c r="DW54" s="58"/>
      <c r="DX54" s="58"/>
      <c r="DY54" s="58"/>
      <c r="DZ54" s="59"/>
      <c r="EA54" s="60"/>
      <c r="EB54" s="61"/>
      <c r="EC54" s="62"/>
      <c r="ED54" s="2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  <c r="EP54" s="63"/>
      <c r="EQ54" s="63"/>
      <c r="ER54" s="63"/>
      <c r="ES54" s="63"/>
      <c r="ET54" s="63"/>
      <c r="EU54" s="80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5">
        <f t="shared" si="41"/>
        <v>0</v>
      </c>
      <c r="FH54" s="84">
        <f t="shared" si="42"/>
        <v>-25</v>
      </c>
      <c r="FI54" s="64"/>
      <c r="FJ54" s="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8"/>
      <c r="GG54" s="48"/>
      <c r="GH54" s="48"/>
      <c r="GI54" s="48"/>
      <c r="GJ54" s="8"/>
      <c r="GK54" s="9">
        <f t="shared" si="43"/>
        <v>0</v>
      </c>
      <c r="GL54" s="9">
        <f t="shared" si="44"/>
        <v>0</v>
      </c>
      <c r="GM54" s="9">
        <f t="shared" si="45"/>
        <v>0</v>
      </c>
      <c r="GN54" s="9">
        <f t="shared" si="46"/>
        <v>0</v>
      </c>
      <c r="GO54" s="9">
        <f t="shared" si="47"/>
        <v>0</v>
      </c>
      <c r="GP54" s="9">
        <f t="shared" si="48"/>
        <v>0</v>
      </c>
      <c r="GQ54" s="9">
        <f t="shared" si="49"/>
        <v>0</v>
      </c>
      <c r="GR54" s="9">
        <f t="shared" si="50"/>
        <v>0</v>
      </c>
      <c r="GS54" s="9">
        <f t="shared" si="51"/>
        <v>0</v>
      </c>
      <c r="GT54" s="9">
        <f t="shared" si="52"/>
        <v>0</v>
      </c>
      <c r="GU54" s="9">
        <f t="shared" si="53"/>
        <v>0</v>
      </c>
      <c r="GV54" s="9">
        <f t="shared" si="54"/>
        <v>0</v>
      </c>
      <c r="GW54" s="9">
        <f t="shared" si="55"/>
        <v>0</v>
      </c>
      <c r="GX54" s="77">
        <f t="shared" si="56"/>
        <v>0</v>
      </c>
      <c r="GY54" s="77">
        <f t="shared" si="57"/>
        <v>0</v>
      </c>
      <c r="GZ54" s="77">
        <f t="shared" si="58"/>
        <v>0</v>
      </c>
    </row>
    <row r="55" spans="1:208">
      <c r="A55" s="48"/>
      <c r="B55" s="49"/>
      <c r="C55" s="50"/>
      <c r="D55" s="51"/>
      <c r="E55" s="50"/>
      <c r="F55" s="52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90"/>
      <c r="V55" s="91"/>
      <c r="W55" s="92"/>
      <c r="X55" s="92"/>
      <c r="Y55" s="92"/>
      <c r="Z55" s="91"/>
      <c r="AA55" s="93"/>
      <c r="AB55" s="99"/>
      <c r="AC55" s="54"/>
      <c r="AD55" s="54"/>
      <c r="AE55" s="54"/>
      <c r="AF55" s="54"/>
      <c r="AG55" s="54"/>
      <c r="AH55" s="54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113"/>
      <c r="BB55" s="110"/>
      <c r="BC55" s="110"/>
      <c r="BD55" s="110"/>
      <c r="BE55" s="110"/>
      <c r="BF55" s="110"/>
      <c r="BG55" s="110"/>
      <c r="BH55" s="110"/>
      <c r="BI55" s="113"/>
      <c r="BJ55" s="110"/>
      <c r="BK55" s="110"/>
      <c r="BL55" s="110"/>
      <c r="BM55" s="110"/>
      <c r="BN55" s="113"/>
      <c r="BO55" s="110"/>
      <c r="BP55" s="110"/>
      <c r="BQ55" s="110"/>
      <c r="BR55" s="110"/>
      <c r="BS55" s="110"/>
      <c r="BT55" s="110"/>
      <c r="BU55" s="110"/>
      <c r="BV55" s="110"/>
      <c r="BW55" s="110"/>
      <c r="BX55" s="113"/>
      <c r="BY55" s="110"/>
      <c r="BZ55" s="110"/>
      <c r="CA55" s="110"/>
      <c r="CB55" s="110"/>
      <c r="CC55" s="110"/>
      <c r="CD55" s="110"/>
      <c r="CE55" s="110"/>
      <c r="CF55" s="110"/>
      <c r="CG55" s="113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66"/>
      <c r="DA55" s="70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56"/>
      <c r="DR55" s="57"/>
      <c r="DS55" s="58"/>
      <c r="DT55" s="58"/>
      <c r="DU55" s="58"/>
      <c r="DV55" s="58"/>
      <c r="DW55" s="58"/>
      <c r="DX55" s="58"/>
      <c r="DY55" s="58"/>
      <c r="DZ55" s="59"/>
      <c r="EA55" s="60"/>
      <c r="EB55" s="61"/>
      <c r="EC55" s="62"/>
      <c r="ED55" s="2"/>
      <c r="EE55" s="63"/>
      <c r="EF55" s="63"/>
      <c r="EG55" s="63"/>
      <c r="EH55" s="63"/>
      <c r="EI55" s="63"/>
      <c r="EJ55" s="63"/>
      <c r="EK55" s="63"/>
      <c r="EL55" s="63"/>
      <c r="EM55" s="63"/>
      <c r="EN55" s="63"/>
      <c r="EO55" s="63"/>
      <c r="EP55" s="63"/>
      <c r="EQ55" s="63"/>
      <c r="ER55" s="63"/>
      <c r="ES55" s="63"/>
      <c r="ET55" s="63"/>
      <c r="EU55" s="80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5">
        <f t="shared" si="41"/>
        <v>0</v>
      </c>
      <c r="FH55" s="84">
        <f t="shared" si="42"/>
        <v>-25</v>
      </c>
      <c r="FI55" s="64"/>
      <c r="FJ55" s="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8"/>
      <c r="GG55" s="48"/>
      <c r="GH55" s="48"/>
      <c r="GI55" s="48"/>
      <c r="GJ55" s="8"/>
      <c r="GK55" s="9">
        <f t="shared" si="43"/>
        <v>0</v>
      </c>
      <c r="GL55" s="9">
        <f t="shared" si="44"/>
        <v>0</v>
      </c>
      <c r="GM55" s="9">
        <f t="shared" si="45"/>
        <v>0</v>
      </c>
      <c r="GN55" s="9">
        <f t="shared" si="46"/>
        <v>0</v>
      </c>
      <c r="GO55" s="9">
        <f t="shared" si="47"/>
        <v>0</v>
      </c>
      <c r="GP55" s="9">
        <f t="shared" si="48"/>
        <v>0</v>
      </c>
      <c r="GQ55" s="9">
        <f t="shared" si="49"/>
        <v>0</v>
      </c>
      <c r="GR55" s="9">
        <f t="shared" si="50"/>
        <v>0</v>
      </c>
      <c r="GS55" s="9">
        <f t="shared" si="51"/>
        <v>0</v>
      </c>
      <c r="GT55" s="9">
        <f t="shared" si="52"/>
        <v>0</v>
      </c>
      <c r="GU55" s="9">
        <f t="shared" si="53"/>
        <v>0</v>
      </c>
      <c r="GV55" s="9">
        <f t="shared" si="54"/>
        <v>0</v>
      </c>
      <c r="GW55" s="9">
        <f t="shared" si="55"/>
        <v>0</v>
      </c>
      <c r="GX55" s="77">
        <f t="shared" si="56"/>
        <v>0</v>
      </c>
      <c r="GY55" s="77">
        <f t="shared" si="57"/>
        <v>0</v>
      </c>
      <c r="GZ55" s="77">
        <f t="shared" si="58"/>
        <v>0</v>
      </c>
    </row>
    <row r="56" spans="1:208">
      <c r="A56" s="48"/>
      <c r="B56" s="49"/>
      <c r="C56" s="50"/>
      <c r="D56" s="51"/>
      <c r="E56" s="50"/>
      <c r="F56" s="52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90"/>
      <c r="V56" s="91"/>
      <c r="W56" s="92"/>
      <c r="X56" s="92"/>
      <c r="Y56" s="92"/>
      <c r="Z56" s="91"/>
      <c r="AA56" s="93"/>
      <c r="AB56" s="99"/>
      <c r="AC56" s="54"/>
      <c r="AD56" s="54"/>
      <c r="AE56" s="54"/>
      <c r="AF56" s="54"/>
      <c r="AG56" s="54"/>
      <c r="AH56" s="54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113"/>
      <c r="BB56" s="110"/>
      <c r="BC56" s="110"/>
      <c r="BD56" s="110"/>
      <c r="BE56" s="110"/>
      <c r="BF56" s="110"/>
      <c r="BG56" s="110"/>
      <c r="BH56" s="110"/>
      <c r="BI56" s="113"/>
      <c r="BJ56" s="110"/>
      <c r="BK56" s="110"/>
      <c r="BL56" s="110"/>
      <c r="BM56" s="110"/>
      <c r="BN56" s="113"/>
      <c r="BO56" s="110"/>
      <c r="BP56" s="110"/>
      <c r="BQ56" s="110"/>
      <c r="BR56" s="110"/>
      <c r="BS56" s="110"/>
      <c r="BT56" s="110"/>
      <c r="BU56" s="110"/>
      <c r="BV56" s="110"/>
      <c r="BW56" s="110"/>
      <c r="BX56" s="113"/>
      <c r="BY56" s="110"/>
      <c r="BZ56" s="110"/>
      <c r="CA56" s="110"/>
      <c r="CB56" s="110"/>
      <c r="CC56" s="110"/>
      <c r="CD56" s="110"/>
      <c r="CE56" s="110"/>
      <c r="CF56" s="110"/>
      <c r="CG56" s="113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66"/>
      <c r="DA56" s="70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56"/>
      <c r="DR56" s="57"/>
      <c r="DS56" s="58"/>
      <c r="DT56" s="58"/>
      <c r="DU56" s="58"/>
      <c r="DV56" s="58"/>
      <c r="DW56" s="58"/>
      <c r="DX56" s="58"/>
      <c r="DY56" s="58"/>
      <c r="DZ56" s="59"/>
      <c r="EA56" s="60"/>
      <c r="EB56" s="61"/>
      <c r="EC56" s="62"/>
      <c r="ED56" s="2"/>
      <c r="EE56" s="63"/>
      <c r="EF56" s="63"/>
      <c r="EG56" s="63"/>
      <c r="EH56" s="63"/>
      <c r="EI56" s="63"/>
      <c r="EJ56" s="63"/>
      <c r="EK56" s="63"/>
      <c r="EL56" s="63"/>
      <c r="EM56" s="63"/>
      <c r="EN56" s="63"/>
      <c r="EO56" s="63"/>
      <c r="EP56" s="63"/>
      <c r="EQ56" s="63"/>
      <c r="ER56" s="63"/>
      <c r="ES56" s="63"/>
      <c r="ET56" s="63"/>
      <c r="EU56" s="80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5">
        <f t="shared" si="41"/>
        <v>0</v>
      </c>
      <c r="FH56" s="84">
        <f t="shared" si="42"/>
        <v>-25</v>
      </c>
      <c r="FI56" s="64"/>
      <c r="FJ56" s="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8"/>
      <c r="GG56" s="48"/>
      <c r="GH56" s="48"/>
      <c r="GI56" s="48"/>
      <c r="GJ56" s="8"/>
      <c r="GK56" s="9">
        <f t="shared" si="43"/>
        <v>0</v>
      </c>
      <c r="GL56" s="9">
        <f t="shared" si="44"/>
        <v>0</v>
      </c>
      <c r="GM56" s="9">
        <f t="shared" si="45"/>
        <v>0</v>
      </c>
      <c r="GN56" s="9">
        <f t="shared" si="46"/>
        <v>0</v>
      </c>
      <c r="GO56" s="9">
        <f t="shared" si="47"/>
        <v>0</v>
      </c>
      <c r="GP56" s="9">
        <f t="shared" si="48"/>
        <v>0</v>
      </c>
      <c r="GQ56" s="9">
        <f t="shared" si="49"/>
        <v>0</v>
      </c>
      <c r="GR56" s="9">
        <f t="shared" si="50"/>
        <v>0</v>
      </c>
      <c r="GS56" s="9">
        <f t="shared" si="51"/>
        <v>0</v>
      </c>
      <c r="GT56" s="9">
        <f t="shared" si="52"/>
        <v>0</v>
      </c>
      <c r="GU56" s="9">
        <f t="shared" si="53"/>
        <v>0</v>
      </c>
      <c r="GV56" s="9">
        <f t="shared" si="54"/>
        <v>0</v>
      </c>
      <c r="GW56" s="9">
        <f t="shared" si="55"/>
        <v>0</v>
      </c>
      <c r="GX56" s="77">
        <f t="shared" si="56"/>
        <v>0</v>
      </c>
      <c r="GY56" s="77">
        <f t="shared" si="57"/>
        <v>0</v>
      </c>
      <c r="GZ56" s="77">
        <f t="shared" si="58"/>
        <v>0</v>
      </c>
    </row>
    <row r="57" spans="1:208">
      <c r="A57" s="48"/>
      <c r="B57" s="49"/>
      <c r="C57" s="50"/>
      <c r="D57" s="51"/>
      <c r="E57" s="50"/>
      <c r="F57" s="52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90"/>
      <c r="V57" s="91"/>
      <c r="W57" s="92"/>
      <c r="X57" s="92"/>
      <c r="Y57" s="92"/>
      <c r="Z57" s="91"/>
      <c r="AA57" s="93"/>
      <c r="AB57" s="99"/>
      <c r="AC57" s="54"/>
      <c r="AD57" s="54"/>
      <c r="AE57" s="54"/>
      <c r="AF57" s="54"/>
      <c r="AG57" s="54"/>
      <c r="AH57" s="54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113"/>
      <c r="BB57" s="110"/>
      <c r="BC57" s="110"/>
      <c r="BD57" s="110"/>
      <c r="BE57" s="110"/>
      <c r="BF57" s="110"/>
      <c r="BG57" s="110"/>
      <c r="BH57" s="110"/>
      <c r="BI57" s="113"/>
      <c r="BJ57" s="110"/>
      <c r="BK57" s="110"/>
      <c r="BL57" s="110"/>
      <c r="BM57" s="110"/>
      <c r="BN57" s="113"/>
      <c r="BO57" s="110"/>
      <c r="BP57" s="110"/>
      <c r="BQ57" s="110"/>
      <c r="BR57" s="110"/>
      <c r="BS57" s="110"/>
      <c r="BT57" s="110"/>
      <c r="BU57" s="110"/>
      <c r="BV57" s="110"/>
      <c r="BW57" s="110"/>
      <c r="BX57" s="113"/>
      <c r="BY57" s="110"/>
      <c r="BZ57" s="110"/>
      <c r="CA57" s="110"/>
      <c r="CB57" s="110"/>
      <c r="CC57" s="110"/>
      <c r="CD57" s="110"/>
      <c r="CE57" s="110"/>
      <c r="CF57" s="110"/>
      <c r="CG57" s="113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66"/>
      <c r="DA57" s="70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56"/>
      <c r="DR57" s="57"/>
      <c r="DS57" s="58"/>
      <c r="DT57" s="58"/>
      <c r="DU57" s="58"/>
      <c r="DV57" s="58"/>
      <c r="DW57" s="58"/>
      <c r="DX57" s="58"/>
      <c r="DY57" s="58"/>
      <c r="DZ57" s="59"/>
      <c r="EA57" s="60"/>
      <c r="EB57" s="61"/>
      <c r="EC57" s="62"/>
      <c r="ED57" s="2"/>
      <c r="EE57" s="63"/>
      <c r="EF57" s="63"/>
      <c r="EG57" s="63"/>
      <c r="EH57" s="63"/>
      <c r="EI57" s="63"/>
      <c r="EJ57" s="63"/>
      <c r="EK57" s="63"/>
      <c r="EL57" s="63"/>
      <c r="EM57" s="63"/>
      <c r="EN57" s="63"/>
      <c r="EO57" s="63"/>
      <c r="EP57" s="63"/>
      <c r="EQ57" s="63"/>
      <c r="ER57" s="63"/>
      <c r="ES57" s="63"/>
      <c r="ET57" s="63"/>
      <c r="EU57" s="80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5">
        <f t="shared" si="41"/>
        <v>0</v>
      </c>
      <c r="FH57" s="84">
        <f t="shared" si="42"/>
        <v>-25</v>
      </c>
      <c r="FI57" s="64"/>
      <c r="FJ57" s="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8"/>
      <c r="GG57" s="48"/>
      <c r="GH57" s="48"/>
      <c r="GI57" s="48"/>
      <c r="GJ57" s="8"/>
      <c r="GK57" s="9">
        <f t="shared" si="43"/>
        <v>0</v>
      </c>
      <c r="GL57" s="9">
        <f t="shared" si="44"/>
        <v>0</v>
      </c>
      <c r="GM57" s="9">
        <f t="shared" si="45"/>
        <v>0</v>
      </c>
      <c r="GN57" s="9">
        <f t="shared" si="46"/>
        <v>0</v>
      </c>
      <c r="GO57" s="9">
        <f t="shared" si="47"/>
        <v>0</v>
      </c>
      <c r="GP57" s="9">
        <f t="shared" si="48"/>
        <v>0</v>
      </c>
      <c r="GQ57" s="9">
        <f t="shared" si="49"/>
        <v>0</v>
      </c>
      <c r="GR57" s="9">
        <f t="shared" si="50"/>
        <v>0</v>
      </c>
      <c r="GS57" s="9">
        <f t="shared" si="51"/>
        <v>0</v>
      </c>
      <c r="GT57" s="9">
        <f t="shared" si="52"/>
        <v>0</v>
      </c>
      <c r="GU57" s="9">
        <f t="shared" si="53"/>
        <v>0</v>
      </c>
      <c r="GV57" s="9">
        <f t="shared" si="54"/>
        <v>0</v>
      </c>
      <c r="GW57" s="9">
        <f t="shared" si="55"/>
        <v>0</v>
      </c>
      <c r="GX57" s="77">
        <f t="shared" si="56"/>
        <v>0</v>
      </c>
      <c r="GY57" s="77">
        <f t="shared" si="57"/>
        <v>0</v>
      </c>
      <c r="GZ57" s="77">
        <f t="shared" si="58"/>
        <v>0</v>
      </c>
    </row>
    <row r="58" spans="1:208">
      <c r="A58" s="48"/>
      <c r="B58" s="49"/>
      <c r="C58" s="50"/>
      <c r="D58" s="51"/>
      <c r="E58" s="50"/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90"/>
      <c r="V58" s="91"/>
      <c r="W58" s="92"/>
      <c r="X58" s="92"/>
      <c r="Y58" s="92"/>
      <c r="Z58" s="91"/>
      <c r="AA58" s="93"/>
      <c r="AB58" s="99"/>
      <c r="AC58" s="54"/>
      <c r="AD58" s="54"/>
      <c r="AE58" s="54"/>
      <c r="AF58" s="54"/>
      <c r="AG58" s="54"/>
      <c r="AH58" s="54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113"/>
      <c r="BB58" s="110"/>
      <c r="BC58" s="110"/>
      <c r="BD58" s="110"/>
      <c r="BE58" s="110"/>
      <c r="BF58" s="110"/>
      <c r="BG58" s="110"/>
      <c r="BH58" s="110"/>
      <c r="BI58" s="113"/>
      <c r="BJ58" s="110"/>
      <c r="BK58" s="110"/>
      <c r="BL58" s="110"/>
      <c r="BM58" s="110"/>
      <c r="BN58" s="113"/>
      <c r="BO58" s="110"/>
      <c r="BP58" s="110"/>
      <c r="BQ58" s="110"/>
      <c r="BR58" s="110"/>
      <c r="BS58" s="110"/>
      <c r="BT58" s="110"/>
      <c r="BU58" s="110"/>
      <c r="BV58" s="110"/>
      <c r="BW58" s="110"/>
      <c r="BX58" s="113"/>
      <c r="BY58" s="110"/>
      <c r="BZ58" s="110"/>
      <c r="CA58" s="110"/>
      <c r="CB58" s="110"/>
      <c r="CC58" s="110"/>
      <c r="CD58" s="110"/>
      <c r="CE58" s="110"/>
      <c r="CF58" s="110"/>
      <c r="CG58" s="113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66"/>
      <c r="DA58" s="70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56"/>
      <c r="DR58" s="57"/>
      <c r="DS58" s="58"/>
      <c r="DT58" s="58"/>
      <c r="DU58" s="58"/>
      <c r="DV58" s="58"/>
      <c r="DW58" s="58"/>
      <c r="DX58" s="58"/>
      <c r="DY58" s="58"/>
      <c r="DZ58" s="59"/>
      <c r="EA58" s="60"/>
      <c r="EB58" s="61"/>
      <c r="EC58" s="62"/>
      <c r="ED58" s="2"/>
      <c r="EE58" s="63"/>
      <c r="EF58" s="63"/>
      <c r="EG58" s="63"/>
      <c r="EH58" s="63"/>
      <c r="EI58" s="63"/>
      <c r="EJ58" s="63"/>
      <c r="EK58" s="63"/>
      <c r="EL58" s="63"/>
      <c r="EM58" s="63"/>
      <c r="EN58" s="63"/>
      <c r="EO58" s="63"/>
      <c r="EP58" s="63"/>
      <c r="EQ58" s="63"/>
      <c r="ER58" s="63"/>
      <c r="ES58" s="63"/>
      <c r="ET58" s="63"/>
      <c r="EU58" s="80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5">
        <f t="shared" si="41"/>
        <v>0</v>
      </c>
      <c r="FH58" s="84">
        <f t="shared" si="42"/>
        <v>-25</v>
      </c>
      <c r="FI58" s="64"/>
      <c r="FJ58" s="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8"/>
      <c r="GG58" s="48"/>
      <c r="GH58" s="48"/>
      <c r="GI58" s="48"/>
      <c r="GJ58" s="8"/>
      <c r="GK58" s="9">
        <f t="shared" si="43"/>
        <v>0</v>
      </c>
      <c r="GL58" s="9">
        <f t="shared" si="44"/>
        <v>0</v>
      </c>
      <c r="GM58" s="9">
        <f t="shared" si="45"/>
        <v>0</v>
      </c>
      <c r="GN58" s="9">
        <f t="shared" si="46"/>
        <v>0</v>
      </c>
      <c r="GO58" s="9">
        <f t="shared" si="47"/>
        <v>0</v>
      </c>
      <c r="GP58" s="9">
        <f t="shared" si="48"/>
        <v>0</v>
      </c>
      <c r="GQ58" s="9">
        <f t="shared" si="49"/>
        <v>0</v>
      </c>
      <c r="GR58" s="9">
        <f t="shared" si="50"/>
        <v>0</v>
      </c>
      <c r="GS58" s="9">
        <f t="shared" si="51"/>
        <v>0</v>
      </c>
      <c r="GT58" s="9">
        <f t="shared" si="52"/>
        <v>0</v>
      </c>
      <c r="GU58" s="9">
        <f t="shared" si="53"/>
        <v>0</v>
      </c>
      <c r="GV58" s="9">
        <f t="shared" si="54"/>
        <v>0</v>
      </c>
      <c r="GW58" s="9">
        <f t="shared" si="55"/>
        <v>0</v>
      </c>
      <c r="GX58" s="77">
        <f t="shared" si="56"/>
        <v>0</v>
      </c>
      <c r="GY58" s="77">
        <f t="shared" si="57"/>
        <v>0</v>
      </c>
      <c r="GZ58" s="77">
        <f t="shared" si="58"/>
        <v>0</v>
      </c>
    </row>
    <row r="59" spans="1:208">
      <c r="A59" s="48"/>
      <c r="B59" s="49"/>
      <c r="C59" s="50"/>
      <c r="D59" s="51"/>
      <c r="E59" s="50"/>
      <c r="F59" s="52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90"/>
      <c r="V59" s="91"/>
      <c r="W59" s="92"/>
      <c r="X59" s="92"/>
      <c r="Y59" s="92"/>
      <c r="Z59" s="91"/>
      <c r="AA59" s="93"/>
      <c r="AB59" s="99"/>
      <c r="AC59" s="54"/>
      <c r="AD59" s="54"/>
      <c r="AE59" s="54"/>
      <c r="AF59" s="54"/>
      <c r="AG59" s="54"/>
      <c r="AH59" s="54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113"/>
      <c r="BB59" s="110"/>
      <c r="BC59" s="110"/>
      <c r="BD59" s="110"/>
      <c r="BE59" s="110"/>
      <c r="BF59" s="110"/>
      <c r="BG59" s="110"/>
      <c r="BH59" s="110"/>
      <c r="BI59" s="113"/>
      <c r="BJ59" s="110"/>
      <c r="BK59" s="110"/>
      <c r="BL59" s="110"/>
      <c r="BM59" s="110"/>
      <c r="BN59" s="113"/>
      <c r="BO59" s="110"/>
      <c r="BP59" s="110"/>
      <c r="BQ59" s="110"/>
      <c r="BR59" s="110"/>
      <c r="BS59" s="110"/>
      <c r="BT59" s="110"/>
      <c r="BU59" s="110"/>
      <c r="BV59" s="110"/>
      <c r="BW59" s="110"/>
      <c r="BX59" s="113"/>
      <c r="BY59" s="110"/>
      <c r="BZ59" s="110"/>
      <c r="CA59" s="110"/>
      <c r="CB59" s="110"/>
      <c r="CC59" s="110"/>
      <c r="CD59" s="110"/>
      <c r="CE59" s="110"/>
      <c r="CF59" s="110"/>
      <c r="CG59" s="113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66"/>
      <c r="DA59" s="70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56"/>
      <c r="DR59" s="57"/>
      <c r="DS59" s="58"/>
      <c r="DT59" s="58"/>
      <c r="DU59" s="58"/>
      <c r="DV59" s="58"/>
      <c r="DW59" s="58"/>
      <c r="DX59" s="58"/>
      <c r="DY59" s="58"/>
      <c r="DZ59" s="59"/>
      <c r="EA59" s="60"/>
      <c r="EB59" s="61"/>
      <c r="EC59" s="62"/>
      <c r="ED59" s="2"/>
      <c r="EE59" s="63"/>
      <c r="EF59" s="63"/>
      <c r="EG59" s="63"/>
      <c r="EH59" s="63"/>
      <c r="EI59" s="63"/>
      <c r="EJ59" s="63"/>
      <c r="EK59" s="63"/>
      <c r="EL59" s="63"/>
      <c r="EM59" s="63"/>
      <c r="EN59" s="63"/>
      <c r="EO59" s="63"/>
      <c r="EP59" s="63"/>
      <c r="EQ59" s="63"/>
      <c r="ER59" s="63"/>
      <c r="ES59" s="63"/>
      <c r="ET59" s="63"/>
      <c r="EU59" s="80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5">
        <f t="shared" si="41"/>
        <v>0</v>
      </c>
      <c r="FH59" s="84">
        <f t="shared" si="42"/>
        <v>-25</v>
      </c>
      <c r="FI59" s="64"/>
      <c r="FJ59" s="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8"/>
      <c r="GG59" s="48"/>
      <c r="GH59" s="48"/>
      <c r="GI59" s="48"/>
      <c r="GJ59" s="8"/>
      <c r="GK59" s="9">
        <f t="shared" si="43"/>
        <v>0</v>
      </c>
      <c r="GL59" s="9">
        <f t="shared" si="44"/>
        <v>0</v>
      </c>
      <c r="GM59" s="9">
        <f t="shared" si="45"/>
        <v>0</v>
      </c>
      <c r="GN59" s="9">
        <f t="shared" si="46"/>
        <v>0</v>
      </c>
      <c r="GO59" s="9">
        <f t="shared" si="47"/>
        <v>0</v>
      </c>
      <c r="GP59" s="9">
        <f t="shared" si="48"/>
        <v>0</v>
      </c>
      <c r="GQ59" s="9">
        <f t="shared" si="49"/>
        <v>0</v>
      </c>
      <c r="GR59" s="9">
        <f t="shared" si="50"/>
        <v>0</v>
      </c>
      <c r="GS59" s="9">
        <f t="shared" si="51"/>
        <v>0</v>
      </c>
      <c r="GT59" s="9">
        <f t="shared" si="52"/>
        <v>0</v>
      </c>
      <c r="GU59" s="9">
        <f t="shared" si="53"/>
        <v>0</v>
      </c>
      <c r="GV59" s="9">
        <f t="shared" si="54"/>
        <v>0</v>
      </c>
      <c r="GW59" s="9">
        <f t="shared" si="55"/>
        <v>0</v>
      </c>
      <c r="GX59" s="77">
        <f t="shared" si="56"/>
        <v>0</v>
      </c>
      <c r="GY59" s="77">
        <f t="shared" si="57"/>
        <v>0</v>
      </c>
      <c r="GZ59" s="77">
        <f t="shared" si="58"/>
        <v>0</v>
      </c>
    </row>
    <row r="60" spans="1:208">
      <c r="A60" s="48"/>
      <c r="B60" s="49"/>
      <c r="C60" s="50"/>
      <c r="D60" s="51"/>
      <c r="E60" s="50"/>
      <c r="F60" s="52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90"/>
      <c r="V60" s="91"/>
      <c r="W60" s="92"/>
      <c r="X60" s="92"/>
      <c r="Y60" s="92"/>
      <c r="Z60" s="91"/>
      <c r="AA60" s="93"/>
      <c r="AB60" s="99"/>
      <c r="AC60" s="54"/>
      <c r="AD60" s="54"/>
      <c r="AE60" s="54"/>
      <c r="AF60" s="54"/>
      <c r="AG60" s="54"/>
      <c r="AH60" s="54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113"/>
      <c r="BB60" s="110"/>
      <c r="BC60" s="110"/>
      <c r="BD60" s="110"/>
      <c r="BE60" s="110"/>
      <c r="BF60" s="110"/>
      <c r="BG60" s="110"/>
      <c r="BH60" s="110"/>
      <c r="BI60" s="113"/>
      <c r="BJ60" s="110"/>
      <c r="BK60" s="110"/>
      <c r="BL60" s="110"/>
      <c r="BM60" s="110"/>
      <c r="BN60" s="113"/>
      <c r="BO60" s="110"/>
      <c r="BP60" s="110"/>
      <c r="BQ60" s="110"/>
      <c r="BR60" s="110"/>
      <c r="BS60" s="110"/>
      <c r="BT60" s="110"/>
      <c r="BU60" s="110"/>
      <c r="BV60" s="110"/>
      <c r="BW60" s="110"/>
      <c r="BX60" s="113"/>
      <c r="BY60" s="110"/>
      <c r="BZ60" s="110"/>
      <c r="CA60" s="110"/>
      <c r="CB60" s="110"/>
      <c r="CC60" s="110"/>
      <c r="CD60" s="110"/>
      <c r="CE60" s="110"/>
      <c r="CF60" s="110"/>
      <c r="CG60" s="113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66"/>
      <c r="DA60" s="70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56"/>
      <c r="DR60" s="57"/>
      <c r="DS60" s="58"/>
      <c r="DT60" s="58"/>
      <c r="DU60" s="58"/>
      <c r="DV60" s="58"/>
      <c r="DW60" s="58"/>
      <c r="DX60" s="58"/>
      <c r="DY60" s="58"/>
      <c r="DZ60" s="59"/>
      <c r="EA60" s="60"/>
      <c r="EB60" s="61"/>
      <c r="EC60" s="62"/>
      <c r="ED60" s="2"/>
      <c r="EE60" s="63"/>
      <c r="EF60" s="63"/>
      <c r="EG60" s="63"/>
      <c r="EH60" s="63"/>
      <c r="EI60" s="63"/>
      <c r="EJ60" s="63"/>
      <c r="EK60" s="63"/>
      <c r="EL60" s="63"/>
      <c r="EM60" s="63"/>
      <c r="EN60" s="63"/>
      <c r="EO60" s="63"/>
      <c r="EP60" s="63"/>
      <c r="EQ60" s="63"/>
      <c r="ER60" s="63"/>
      <c r="ES60" s="63"/>
      <c r="ET60" s="63"/>
      <c r="EU60" s="80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5">
        <f t="shared" si="41"/>
        <v>0</v>
      </c>
      <c r="FH60" s="84">
        <f t="shared" si="42"/>
        <v>-25</v>
      </c>
      <c r="FI60" s="64"/>
      <c r="FJ60" s="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8"/>
      <c r="GG60" s="48"/>
      <c r="GH60" s="48"/>
      <c r="GI60" s="48"/>
      <c r="GJ60" s="8"/>
      <c r="GK60" s="9">
        <f t="shared" si="43"/>
        <v>0</v>
      </c>
      <c r="GL60" s="9">
        <f t="shared" si="44"/>
        <v>0</v>
      </c>
      <c r="GM60" s="9">
        <f t="shared" si="45"/>
        <v>0</v>
      </c>
      <c r="GN60" s="9">
        <f t="shared" si="46"/>
        <v>0</v>
      </c>
      <c r="GO60" s="9">
        <f t="shared" si="47"/>
        <v>0</v>
      </c>
      <c r="GP60" s="9">
        <f t="shared" si="48"/>
        <v>0</v>
      </c>
      <c r="GQ60" s="9">
        <f t="shared" si="49"/>
        <v>0</v>
      </c>
      <c r="GR60" s="9">
        <f t="shared" si="50"/>
        <v>0</v>
      </c>
      <c r="GS60" s="9">
        <f t="shared" si="51"/>
        <v>0</v>
      </c>
      <c r="GT60" s="9">
        <f t="shared" si="52"/>
        <v>0</v>
      </c>
      <c r="GU60" s="9">
        <f t="shared" si="53"/>
        <v>0</v>
      </c>
      <c r="GV60" s="9">
        <f t="shared" si="54"/>
        <v>0</v>
      </c>
      <c r="GW60" s="9">
        <f t="shared" si="55"/>
        <v>0</v>
      </c>
      <c r="GX60" s="77">
        <f t="shared" si="56"/>
        <v>0</v>
      </c>
      <c r="GY60" s="77">
        <f t="shared" si="57"/>
        <v>0</v>
      </c>
      <c r="GZ60" s="77">
        <f t="shared" si="58"/>
        <v>0</v>
      </c>
    </row>
    <row r="61" spans="1:208">
      <c r="A61" s="48"/>
      <c r="B61" s="49"/>
      <c r="C61" s="50"/>
      <c r="D61" s="51"/>
      <c r="E61" s="50"/>
      <c r="F61" s="52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90"/>
      <c r="V61" s="91"/>
      <c r="W61" s="92"/>
      <c r="X61" s="92"/>
      <c r="Y61" s="92"/>
      <c r="Z61" s="91"/>
      <c r="AA61" s="93"/>
      <c r="AB61" s="99"/>
      <c r="AC61" s="54"/>
      <c r="AD61" s="54"/>
      <c r="AE61" s="54"/>
      <c r="AF61" s="54"/>
      <c r="AG61" s="54"/>
      <c r="AH61" s="54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113"/>
      <c r="BB61" s="110"/>
      <c r="BC61" s="110"/>
      <c r="BD61" s="110"/>
      <c r="BE61" s="110"/>
      <c r="BF61" s="110"/>
      <c r="BG61" s="110"/>
      <c r="BH61" s="110"/>
      <c r="BI61" s="113"/>
      <c r="BJ61" s="110"/>
      <c r="BK61" s="110"/>
      <c r="BL61" s="110"/>
      <c r="BM61" s="110"/>
      <c r="BN61" s="113"/>
      <c r="BO61" s="110"/>
      <c r="BP61" s="110"/>
      <c r="BQ61" s="110"/>
      <c r="BR61" s="110"/>
      <c r="BS61" s="110"/>
      <c r="BT61" s="110"/>
      <c r="BU61" s="110"/>
      <c r="BV61" s="110"/>
      <c r="BW61" s="110"/>
      <c r="BX61" s="113"/>
      <c r="BY61" s="110"/>
      <c r="BZ61" s="110"/>
      <c r="CA61" s="110"/>
      <c r="CB61" s="110"/>
      <c r="CC61" s="110"/>
      <c r="CD61" s="110"/>
      <c r="CE61" s="110"/>
      <c r="CF61" s="110"/>
      <c r="CG61" s="113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66"/>
      <c r="DA61" s="70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56"/>
      <c r="DR61" s="57"/>
      <c r="DS61" s="58"/>
      <c r="DT61" s="58"/>
      <c r="DU61" s="58"/>
      <c r="DV61" s="58"/>
      <c r="DW61" s="58"/>
      <c r="DX61" s="58"/>
      <c r="DY61" s="58"/>
      <c r="DZ61" s="59"/>
      <c r="EA61" s="60"/>
      <c r="EB61" s="61"/>
      <c r="EC61" s="62"/>
      <c r="ED61" s="2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80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5">
        <f t="shared" si="41"/>
        <v>0</v>
      </c>
      <c r="FH61" s="84">
        <f t="shared" si="42"/>
        <v>-25</v>
      </c>
      <c r="FI61" s="64"/>
      <c r="FJ61" s="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8"/>
      <c r="GG61" s="48"/>
      <c r="GH61" s="48"/>
      <c r="GI61" s="48"/>
      <c r="GJ61" s="8"/>
      <c r="GK61" s="9">
        <f t="shared" si="43"/>
        <v>0</v>
      </c>
      <c r="GL61" s="9">
        <f t="shared" si="44"/>
        <v>0</v>
      </c>
      <c r="GM61" s="9">
        <f t="shared" si="45"/>
        <v>0</v>
      </c>
      <c r="GN61" s="9">
        <f t="shared" si="46"/>
        <v>0</v>
      </c>
      <c r="GO61" s="9">
        <f t="shared" si="47"/>
        <v>0</v>
      </c>
      <c r="GP61" s="9">
        <f t="shared" si="48"/>
        <v>0</v>
      </c>
      <c r="GQ61" s="9">
        <f t="shared" si="49"/>
        <v>0</v>
      </c>
      <c r="GR61" s="9">
        <f t="shared" si="50"/>
        <v>0</v>
      </c>
      <c r="GS61" s="9">
        <f t="shared" si="51"/>
        <v>0</v>
      </c>
      <c r="GT61" s="9">
        <f t="shared" si="52"/>
        <v>0</v>
      </c>
      <c r="GU61" s="9">
        <f t="shared" si="53"/>
        <v>0</v>
      </c>
      <c r="GV61" s="9">
        <f t="shared" si="54"/>
        <v>0</v>
      </c>
      <c r="GW61" s="9">
        <f t="shared" si="55"/>
        <v>0</v>
      </c>
      <c r="GX61" s="77">
        <f t="shared" si="56"/>
        <v>0</v>
      </c>
      <c r="GY61" s="77">
        <f t="shared" si="57"/>
        <v>0</v>
      </c>
      <c r="GZ61" s="77">
        <f t="shared" si="58"/>
        <v>0</v>
      </c>
    </row>
    <row r="62" spans="1:208">
      <c r="A62" s="48"/>
      <c r="B62" s="49"/>
      <c r="C62" s="50"/>
      <c r="D62" s="51"/>
      <c r="E62" s="50"/>
      <c r="F62" s="52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90"/>
      <c r="V62" s="91"/>
      <c r="W62" s="92"/>
      <c r="X62" s="92"/>
      <c r="Y62" s="92"/>
      <c r="Z62" s="91"/>
      <c r="AA62" s="93"/>
      <c r="AB62" s="99"/>
      <c r="AC62" s="54"/>
      <c r="AD62" s="54"/>
      <c r="AE62" s="54"/>
      <c r="AF62" s="54"/>
      <c r="AG62" s="54"/>
      <c r="AH62" s="54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113"/>
      <c r="BB62" s="110"/>
      <c r="BC62" s="110"/>
      <c r="BD62" s="110"/>
      <c r="BE62" s="110"/>
      <c r="BF62" s="110"/>
      <c r="BG62" s="110"/>
      <c r="BH62" s="110"/>
      <c r="BI62" s="113"/>
      <c r="BJ62" s="110"/>
      <c r="BK62" s="110"/>
      <c r="BL62" s="110"/>
      <c r="BM62" s="110"/>
      <c r="BN62" s="113"/>
      <c r="BO62" s="110"/>
      <c r="BP62" s="110"/>
      <c r="BQ62" s="110"/>
      <c r="BR62" s="110"/>
      <c r="BS62" s="110"/>
      <c r="BT62" s="110"/>
      <c r="BU62" s="110"/>
      <c r="BV62" s="110"/>
      <c r="BW62" s="110"/>
      <c r="BX62" s="113"/>
      <c r="BY62" s="110"/>
      <c r="BZ62" s="110"/>
      <c r="CA62" s="110"/>
      <c r="CB62" s="110"/>
      <c r="CC62" s="110"/>
      <c r="CD62" s="110"/>
      <c r="CE62" s="110"/>
      <c r="CF62" s="110"/>
      <c r="CG62" s="113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66"/>
      <c r="DA62" s="70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56"/>
      <c r="DR62" s="57"/>
      <c r="DS62" s="58"/>
      <c r="DT62" s="58"/>
      <c r="DU62" s="58"/>
      <c r="DV62" s="58"/>
      <c r="DW62" s="58"/>
      <c r="DX62" s="58"/>
      <c r="DY62" s="58"/>
      <c r="DZ62" s="59"/>
      <c r="EA62" s="60"/>
      <c r="EB62" s="61"/>
      <c r="EC62" s="62"/>
      <c r="ED62" s="2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80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5">
        <f t="shared" si="41"/>
        <v>0</v>
      </c>
      <c r="FH62" s="84">
        <f t="shared" si="42"/>
        <v>-25</v>
      </c>
      <c r="FI62" s="64"/>
      <c r="FJ62" s="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8"/>
      <c r="GG62" s="48"/>
      <c r="GH62" s="48"/>
      <c r="GI62" s="48"/>
      <c r="GJ62" s="8"/>
      <c r="GK62" s="9">
        <f t="shared" si="43"/>
        <v>0</v>
      </c>
      <c r="GL62" s="9">
        <f t="shared" si="44"/>
        <v>0</v>
      </c>
      <c r="GM62" s="9">
        <f t="shared" si="45"/>
        <v>0</v>
      </c>
      <c r="GN62" s="9">
        <f t="shared" si="46"/>
        <v>0</v>
      </c>
      <c r="GO62" s="9">
        <f t="shared" si="47"/>
        <v>0</v>
      </c>
      <c r="GP62" s="9">
        <f t="shared" si="48"/>
        <v>0</v>
      </c>
      <c r="GQ62" s="9">
        <f t="shared" si="49"/>
        <v>0</v>
      </c>
      <c r="GR62" s="9">
        <f t="shared" si="50"/>
        <v>0</v>
      </c>
      <c r="GS62" s="9">
        <f t="shared" si="51"/>
        <v>0</v>
      </c>
      <c r="GT62" s="9">
        <f t="shared" si="52"/>
        <v>0</v>
      </c>
      <c r="GU62" s="9">
        <f t="shared" si="53"/>
        <v>0</v>
      </c>
      <c r="GV62" s="9">
        <f t="shared" si="54"/>
        <v>0</v>
      </c>
      <c r="GW62" s="9">
        <f t="shared" si="55"/>
        <v>0</v>
      </c>
      <c r="GX62" s="77">
        <f t="shared" si="56"/>
        <v>0</v>
      </c>
      <c r="GY62" s="77">
        <f t="shared" si="57"/>
        <v>0</v>
      </c>
      <c r="GZ62" s="77">
        <f t="shared" si="58"/>
        <v>0</v>
      </c>
    </row>
    <row r="63" spans="1:208">
      <c r="A63" s="48"/>
      <c r="B63" s="49"/>
      <c r="C63" s="50"/>
      <c r="D63" s="51"/>
      <c r="E63" s="50"/>
      <c r="F63" s="52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90"/>
      <c r="V63" s="91"/>
      <c r="W63" s="92"/>
      <c r="X63" s="92"/>
      <c r="Y63" s="92"/>
      <c r="Z63" s="91"/>
      <c r="AA63" s="93"/>
      <c r="AB63" s="99"/>
      <c r="AC63" s="54"/>
      <c r="AD63" s="54"/>
      <c r="AE63" s="54"/>
      <c r="AF63" s="54"/>
      <c r="AG63" s="54"/>
      <c r="AH63" s="54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113"/>
      <c r="BB63" s="110"/>
      <c r="BC63" s="110"/>
      <c r="BD63" s="110"/>
      <c r="BE63" s="110"/>
      <c r="BF63" s="110"/>
      <c r="BG63" s="110"/>
      <c r="BH63" s="110"/>
      <c r="BI63" s="113"/>
      <c r="BJ63" s="110"/>
      <c r="BK63" s="110"/>
      <c r="BL63" s="110"/>
      <c r="BM63" s="110"/>
      <c r="BN63" s="113"/>
      <c r="BO63" s="110"/>
      <c r="BP63" s="110"/>
      <c r="BQ63" s="110"/>
      <c r="BR63" s="110"/>
      <c r="BS63" s="110"/>
      <c r="BT63" s="110"/>
      <c r="BU63" s="110"/>
      <c r="BV63" s="110"/>
      <c r="BW63" s="110"/>
      <c r="BX63" s="113"/>
      <c r="BY63" s="110"/>
      <c r="BZ63" s="110"/>
      <c r="CA63" s="110"/>
      <c r="CB63" s="110"/>
      <c r="CC63" s="110"/>
      <c r="CD63" s="110"/>
      <c r="CE63" s="110"/>
      <c r="CF63" s="110"/>
      <c r="CG63" s="113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66"/>
      <c r="DA63" s="70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56"/>
      <c r="DR63" s="57"/>
      <c r="DS63" s="58"/>
      <c r="DT63" s="58"/>
      <c r="DU63" s="58"/>
      <c r="DV63" s="58"/>
      <c r="DW63" s="58"/>
      <c r="DX63" s="58"/>
      <c r="DY63" s="58"/>
      <c r="DZ63" s="59"/>
      <c r="EA63" s="60"/>
      <c r="EB63" s="61"/>
      <c r="EC63" s="62"/>
      <c r="ED63" s="2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80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5">
        <f t="shared" si="41"/>
        <v>0</v>
      </c>
      <c r="FH63" s="84">
        <f t="shared" si="42"/>
        <v>-25</v>
      </c>
      <c r="FI63" s="64"/>
      <c r="FJ63" s="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8"/>
      <c r="GG63" s="48"/>
      <c r="GH63" s="48"/>
      <c r="GI63" s="48"/>
      <c r="GJ63" s="8"/>
      <c r="GK63" s="9">
        <f t="shared" si="43"/>
        <v>0</v>
      </c>
      <c r="GL63" s="9">
        <f t="shared" si="44"/>
        <v>0</v>
      </c>
      <c r="GM63" s="9">
        <f t="shared" si="45"/>
        <v>0</v>
      </c>
      <c r="GN63" s="9">
        <f t="shared" si="46"/>
        <v>0</v>
      </c>
      <c r="GO63" s="9">
        <f t="shared" si="47"/>
        <v>0</v>
      </c>
      <c r="GP63" s="9">
        <f t="shared" si="48"/>
        <v>0</v>
      </c>
      <c r="GQ63" s="9">
        <f t="shared" si="49"/>
        <v>0</v>
      </c>
      <c r="GR63" s="9">
        <f t="shared" si="50"/>
        <v>0</v>
      </c>
      <c r="GS63" s="9">
        <f t="shared" si="51"/>
        <v>0</v>
      </c>
      <c r="GT63" s="9">
        <f t="shared" si="52"/>
        <v>0</v>
      </c>
      <c r="GU63" s="9">
        <f t="shared" si="53"/>
        <v>0</v>
      </c>
      <c r="GV63" s="9">
        <f t="shared" si="54"/>
        <v>0</v>
      </c>
      <c r="GW63" s="9">
        <f t="shared" si="55"/>
        <v>0</v>
      </c>
      <c r="GX63" s="77">
        <f t="shared" si="56"/>
        <v>0</v>
      </c>
      <c r="GY63" s="77">
        <f t="shared" si="57"/>
        <v>0</v>
      </c>
      <c r="GZ63" s="77">
        <f t="shared" si="58"/>
        <v>0</v>
      </c>
    </row>
    <row r="64" spans="1:208">
      <c r="A64" s="48"/>
      <c r="B64" s="49"/>
      <c r="C64" s="50"/>
      <c r="D64" s="51"/>
      <c r="E64" s="50"/>
      <c r="F64" s="52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90"/>
      <c r="V64" s="91"/>
      <c r="W64" s="92"/>
      <c r="X64" s="92"/>
      <c r="Y64" s="92"/>
      <c r="Z64" s="91"/>
      <c r="AA64" s="93"/>
      <c r="AB64" s="99"/>
      <c r="AC64" s="54"/>
      <c r="AD64" s="54"/>
      <c r="AE64" s="54"/>
      <c r="AF64" s="54"/>
      <c r="AG64" s="54"/>
      <c r="AH64" s="54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113"/>
      <c r="BB64" s="110"/>
      <c r="BC64" s="110"/>
      <c r="BD64" s="110"/>
      <c r="BE64" s="110"/>
      <c r="BF64" s="110"/>
      <c r="BG64" s="110"/>
      <c r="BH64" s="110"/>
      <c r="BI64" s="113"/>
      <c r="BJ64" s="110"/>
      <c r="BK64" s="110"/>
      <c r="BL64" s="110"/>
      <c r="BM64" s="110"/>
      <c r="BN64" s="113"/>
      <c r="BO64" s="110"/>
      <c r="BP64" s="110"/>
      <c r="BQ64" s="110"/>
      <c r="BR64" s="110"/>
      <c r="BS64" s="110"/>
      <c r="BT64" s="110"/>
      <c r="BU64" s="110"/>
      <c r="BV64" s="110"/>
      <c r="BW64" s="110"/>
      <c r="BX64" s="113"/>
      <c r="BY64" s="110"/>
      <c r="BZ64" s="110"/>
      <c r="CA64" s="110"/>
      <c r="CB64" s="110"/>
      <c r="CC64" s="110"/>
      <c r="CD64" s="110"/>
      <c r="CE64" s="110"/>
      <c r="CF64" s="110"/>
      <c r="CG64" s="113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66"/>
      <c r="DA64" s="70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56"/>
      <c r="DR64" s="57"/>
      <c r="DS64" s="58"/>
      <c r="DT64" s="58"/>
      <c r="DU64" s="58"/>
      <c r="DV64" s="58"/>
      <c r="DW64" s="58"/>
      <c r="DX64" s="58"/>
      <c r="DY64" s="58"/>
      <c r="DZ64" s="59"/>
      <c r="EA64" s="60"/>
      <c r="EB64" s="61"/>
      <c r="EC64" s="62"/>
      <c r="ED64" s="2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80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5">
        <f t="shared" si="41"/>
        <v>0</v>
      </c>
      <c r="FH64" s="84">
        <f t="shared" si="42"/>
        <v>-25</v>
      </c>
      <c r="FI64" s="64"/>
      <c r="FJ64" s="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8"/>
      <c r="GG64" s="48"/>
      <c r="GH64" s="48"/>
      <c r="GI64" s="48"/>
      <c r="GJ64" s="8"/>
      <c r="GK64" s="9">
        <f t="shared" si="43"/>
        <v>0</v>
      </c>
      <c r="GL64" s="9">
        <f t="shared" si="44"/>
        <v>0</v>
      </c>
      <c r="GM64" s="9">
        <f t="shared" si="45"/>
        <v>0</v>
      </c>
      <c r="GN64" s="9">
        <f t="shared" si="46"/>
        <v>0</v>
      </c>
      <c r="GO64" s="9">
        <f t="shared" si="47"/>
        <v>0</v>
      </c>
      <c r="GP64" s="9">
        <f t="shared" si="48"/>
        <v>0</v>
      </c>
      <c r="GQ64" s="9">
        <f t="shared" si="49"/>
        <v>0</v>
      </c>
      <c r="GR64" s="9">
        <f t="shared" si="50"/>
        <v>0</v>
      </c>
      <c r="GS64" s="9">
        <f t="shared" si="51"/>
        <v>0</v>
      </c>
      <c r="GT64" s="9">
        <f t="shared" si="52"/>
        <v>0</v>
      </c>
      <c r="GU64" s="9">
        <f t="shared" si="53"/>
        <v>0</v>
      </c>
      <c r="GV64" s="9">
        <f t="shared" si="54"/>
        <v>0</v>
      </c>
      <c r="GW64" s="9">
        <f t="shared" si="55"/>
        <v>0</v>
      </c>
      <c r="GX64" s="77">
        <f t="shared" si="56"/>
        <v>0</v>
      </c>
      <c r="GY64" s="77">
        <f t="shared" si="57"/>
        <v>0</v>
      </c>
      <c r="GZ64" s="77">
        <f t="shared" si="58"/>
        <v>0</v>
      </c>
    </row>
    <row r="65" spans="1:208">
      <c r="A65" s="48"/>
      <c r="B65" s="49"/>
      <c r="C65" s="50"/>
      <c r="D65" s="51"/>
      <c r="E65" s="50"/>
      <c r="F65" s="52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90"/>
      <c r="V65" s="91"/>
      <c r="W65" s="92"/>
      <c r="X65" s="92"/>
      <c r="Y65" s="92"/>
      <c r="Z65" s="91"/>
      <c r="AA65" s="93"/>
      <c r="AB65" s="99"/>
      <c r="AC65" s="54"/>
      <c r="AD65" s="54"/>
      <c r="AE65" s="54"/>
      <c r="AF65" s="54"/>
      <c r="AG65" s="54"/>
      <c r="AH65" s="54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113"/>
      <c r="BB65" s="110"/>
      <c r="BC65" s="110"/>
      <c r="BD65" s="110"/>
      <c r="BE65" s="110"/>
      <c r="BF65" s="110"/>
      <c r="BG65" s="110"/>
      <c r="BH65" s="110"/>
      <c r="BI65" s="113"/>
      <c r="BJ65" s="110"/>
      <c r="BK65" s="110"/>
      <c r="BL65" s="110"/>
      <c r="BM65" s="110"/>
      <c r="BN65" s="113"/>
      <c r="BO65" s="110"/>
      <c r="BP65" s="110"/>
      <c r="BQ65" s="110"/>
      <c r="BR65" s="110"/>
      <c r="BS65" s="110"/>
      <c r="BT65" s="110"/>
      <c r="BU65" s="110"/>
      <c r="BV65" s="110"/>
      <c r="BW65" s="110"/>
      <c r="BX65" s="113"/>
      <c r="BY65" s="110"/>
      <c r="BZ65" s="110"/>
      <c r="CA65" s="110"/>
      <c r="CB65" s="110"/>
      <c r="CC65" s="110"/>
      <c r="CD65" s="110"/>
      <c r="CE65" s="110"/>
      <c r="CF65" s="110"/>
      <c r="CG65" s="113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66"/>
      <c r="DA65" s="70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56"/>
      <c r="DR65" s="57"/>
      <c r="DS65" s="58"/>
      <c r="DT65" s="58"/>
      <c r="DU65" s="58"/>
      <c r="DV65" s="58"/>
      <c r="DW65" s="58"/>
      <c r="DX65" s="58"/>
      <c r="DY65" s="58"/>
      <c r="DZ65" s="59"/>
      <c r="EA65" s="60"/>
      <c r="EB65" s="61"/>
      <c r="EC65" s="62"/>
      <c r="ED65" s="2"/>
      <c r="EE65" s="6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80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5">
        <f t="shared" si="41"/>
        <v>0</v>
      </c>
      <c r="FH65" s="84">
        <f t="shared" si="42"/>
        <v>-25</v>
      </c>
      <c r="FI65" s="64"/>
      <c r="FJ65" s="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8"/>
      <c r="GG65" s="48"/>
      <c r="GH65" s="48"/>
      <c r="GI65" s="48"/>
      <c r="GJ65" s="8"/>
      <c r="GK65" s="9">
        <f t="shared" si="43"/>
        <v>0</v>
      </c>
      <c r="GL65" s="9">
        <f t="shared" si="44"/>
        <v>0</v>
      </c>
      <c r="GM65" s="9">
        <f t="shared" si="45"/>
        <v>0</v>
      </c>
      <c r="GN65" s="9">
        <f t="shared" si="46"/>
        <v>0</v>
      </c>
      <c r="GO65" s="9">
        <f t="shared" si="47"/>
        <v>0</v>
      </c>
      <c r="GP65" s="9">
        <f t="shared" si="48"/>
        <v>0</v>
      </c>
      <c r="GQ65" s="9">
        <f t="shared" si="49"/>
        <v>0</v>
      </c>
      <c r="GR65" s="9">
        <f t="shared" si="50"/>
        <v>0</v>
      </c>
      <c r="GS65" s="9">
        <f t="shared" si="51"/>
        <v>0</v>
      </c>
      <c r="GT65" s="9">
        <f t="shared" si="52"/>
        <v>0</v>
      </c>
      <c r="GU65" s="9">
        <f t="shared" si="53"/>
        <v>0</v>
      </c>
      <c r="GV65" s="9">
        <f t="shared" si="54"/>
        <v>0</v>
      </c>
      <c r="GW65" s="9">
        <f t="shared" si="55"/>
        <v>0</v>
      </c>
      <c r="GX65" s="77">
        <f t="shared" si="56"/>
        <v>0</v>
      </c>
      <c r="GY65" s="77">
        <f t="shared" si="57"/>
        <v>0</v>
      </c>
      <c r="GZ65" s="77">
        <f t="shared" si="58"/>
        <v>0</v>
      </c>
    </row>
    <row r="66" spans="1:208">
      <c r="A66" s="48"/>
      <c r="B66" s="49"/>
      <c r="C66" s="50"/>
      <c r="D66" s="51"/>
      <c r="E66" s="50"/>
      <c r="F66" s="52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90"/>
      <c r="V66" s="91"/>
      <c r="W66" s="92"/>
      <c r="X66" s="92"/>
      <c r="Y66" s="92"/>
      <c r="Z66" s="91"/>
      <c r="AA66" s="93"/>
      <c r="AB66" s="99"/>
      <c r="AC66" s="54"/>
      <c r="AD66" s="54"/>
      <c r="AE66" s="54"/>
      <c r="AF66" s="54"/>
      <c r="AG66" s="54"/>
      <c r="AH66" s="54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113"/>
      <c r="BB66" s="110"/>
      <c r="BC66" s="110"/>
      <c r="BD66" s="110"/>
      <c r="BE66" s="110"/>
      <c r="BF66" s="110"/>
      <c r="BG66" s="110"/>
      <c r="BH66" s="110"/>
      <c r="BI66" s="113"/>
      <c r="BJ66" s="110"/>
      <c r="BK66" s="110"/>
      <c r="BL66" s="110"/>
      <c r="BM66" s="110"/>
      <c r="BN66" s="113"/>
      <c r="BO66" s="110"/>
      <c r="BP66" s="110"/>
      <c r="BQ66" s="110"/>
      <c r="BR66" s="110"/>
      <c r="BS66" s="110"/>
      <c r="BT66" s="110"/>
      <c r="BU66" s="110"/>
      <c r="BV66" s="110"/>
      <c r="BW66" s="110"/>
      <c r="BX66" s="113"/>
      <c r="BY66" s="110"/>
      <c r="BZ66" s="110"/>
      <c r="CA66" s="110"/>
      <c r="CB66" s="110"/>
      <c r="CC66" s="110"/>
      <c r="CD66" s="110"/>
      <c r="CE66" s="110"/>
      <c r="CF66" s="110"/>
      <c r="CG66" s="113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66"/>
      <c r="DA66" s="70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56"/>
      <c r="DR66" s="57"/>
      <c r="DS66" s="58"/>
      <c r="DT66" s="58"/>
      <c r="DU66" s="58"/>
      <c r="DV66" s="58"/>
      <c r="DW66" s="58"/>
      <c r="DX66" s="58"/>
      <c r="DY66" s="58"/>
      <c r="DZ66" s="59"/>
      <c r="EA66" s="60"/>
      <c r="EB66" s="61"/>
      <c r="EC66" s="62"/>
      <c r="ED66" s="2"/>
      <c r="EE66" s="6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80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5">
        <f t="shared" si="41"/>
        <v>0</v>
      </c>
      <c r="FH66" s="84">
        <f t="shared" si="42"/>
        <v>-25</v>
      </c>
      <c r="FI66" s="64"/>
      <c r="FJ66" s="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8"/>
      <c r="GG66" s="48"/>
      <c r="GH66" s="48"/>
      <c r="GI66" s="48"/>
      <c r="GJ66" s="8"/>
      <c r="GK66" s="9">
        <f t="shared" si="43"/>
        <v>0</v>
      </c>
      <c r="GL66" s="9">
        <f t="shared" si="44"/>
        <v>0</v>
      </c>
      <c r="GM66" s="9">
        <f t="shared" si="45"/>
        <v>0</v>
      </c>
      <c r="GN66" s="9">
        <f t="shared" si="46"/>
        <v>0</v>
      </c>
      <c r="GO66" s="9">
        <f t="shared" si="47"/>
        <v>0</v>
      </c>
      <c r="GP66" s="9">
        <f t="shared" si="48"/>
        <v>0</v>
      </c>
      <c r="GQ66" s="9">
        <f t="shared" si="49"/>
        <v>0</v>
      </c>
      <c r="GR66" s="9">
        <f t="shared" si="50"/>
        <v>0</v>
      </c>
      <c r="GS66" s="9">
        <f t="shared" si="51"/>
        <v>0</v>
      </c>
      <c r="GT66" s="9">
        <f t="shared" si="52"/>
        <v>0</v>
      </c>
      <c r="GU66" s="9">
        <f t="shared" si="53"/>
        <v>0</v>
      </c>
      <c r="GV66" s="9">
        <f t="shared" si="54"/>
        <v>0</v>
      </c>
      <c r="GW66" s="9">
        <f t="shared" si="55"/>
        <v>0</v>
      </c>
      <c r="GX66" s="77">
        <f t="shared" si="56"/>
        <v>0</v>
      </c>
      <c r="GY66" s="77">
        <f t="shared" si="57"/>
        <v>0</v>
      </c>
      <c r="GZ66" s="77">
        <f t="shared" si="58"/>
        <v>0</v>
      </c>
    </row>
    <row r="67" spans="1:208">
      <c r="A67" s="48"/>
      <c r="B67" s="49"/>
      <c r="C67" s="50"/>
      <c r="D67" s="51"/>
      <c r="E67" s="50"/>
      <c r="F67" s="52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90"/>
      <c r="V67" s="91"/>
      <c r="W67" s="92"/>
      <c r="X67" s="92"/>
      <c r="Y67" s="92"/>
      <c r="Z67" s="91"/>
      <c r="AA67" s="93"/>
      <c r="AB67" s="99"/>
      <c r="AC67" s="54"/>
      <c r="AD67" s="54"/>
      <c r="AE67" s="54"/>
      <c r="AF67" s="54"/>
      <c r="AG67" s="54"/>
      <c r="AH67" s="54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113"/>
      <c r="BB67" s="110"/>
      <c r="BC67" s="110"/>
      <c r="BD67" s="110"/>
      <c r="BE67" s="110"/>
      <c r="BF67" s="110"/>
      <c r="BG67" s="110"/>
      <c r="BH67" s="110"/>
      <c r="BI67" s="113"/>
      <c r="BJ67" s="110"/>
      <c r="BK67" s="110"/>
      <c r="BL67" s="110"/>
      <c r="BM67" s="110"/>
      <c r="BN67" s="113"/>
      <c r="BO67" s="110"/>
      <c r="BP67" s="110"/>
      <c r="BQ67" s="110"/>
      <c r="BR67" s="110"/>
      <c r="BS67" s="110"/>
      <c r="BT67" s="110"/>
      <c r="BU67" s="110"/>
      <c r="BV67" s="110"/>
      <c r="BW67" s="110"/>
      <c r="BX67" s="113"/>
      <c r="BY67" s="110"/>
      <c r="BZ67" s="110"/>
      <c r="CA67" s="110"/>
      <c r="CB67" s="110"/>
      <c r="CC67" s="110"/>
      <c r="CD67" s="110"/>
      <c r="CE67" s="110"/>
      <c r="CF67" s="110"/>
      <c r="CG67" s="113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66"/>
      <c r="DA67" s="70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56"/>
      <c r="DR67" s="57"/>
      <c r="DS67" s="58"/>
      <c r="DT67" s="58"/>
      <c r="DU67" s="58"/>
      <c r="DV67" s="58"/>
      <c r="DW67" s="58"/>
      <c r="DX67" s="58"/>
      <c r="DY67" s="58"/>
      <c r="DZ67" s="59"/>
      <c r="EA67" s="60"/>
      <c r="EB67" s="61"/>
      <c r="EC67" s="62"/>
      <c r="ED67" s="2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80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5">
        <f t="shared" si="41"/>
        <v>0</v>
      </c>
      <c r="FH67" s="84">
        <f t="shared" si="42"/>
        <v>-25</v>
      </c>
      <c r="FI67" s="64"/>
      <c r="FJ67" s="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8"/>
      <c r="GK67" s="9">
        <f t="shared" si="43"/>
        <v>0</v>
      </c>
      <c r="GL67" s="9">
        <f t="shared" si="44"/>
        <v>0</v>
      </c>
      <c r="GM67" s="9">
        <f t="shared" si="45"/>
        <v>0</v>
      </c>
      <c r="GN67" s="9">
        <f t="shared" si="46"/>
        <v>0</v>
      </c>
      <c r="GO67" s="9">
        <f t="shared" si="47"/>
        <v>0</v>
      </c>
      <c r="GP67" s="9">
        <f t="shared" si="48"/>
        <v>0</v>
      </c>
      <c r="GQ67" s="9">
        <f t="shared" si="49"/>
        <v>0</v>
      </c>
      <c r="GR67" s="9">
        <f t="shared" si="50"/>
        <v>0</v>
      </c>
      <c r="GS67" s="9">
        <f t="shared" si="51"/>
        <v>0</v>
      </c>
      <c r="GT67" s="9">
        <f t="shared" si="52"/>
        <v>0</v>
      </c>
      <c r="GU67" s="9">
        <f t="shared" si="53"/>
        <v>0</v>
      </c>
      <c r="GV67" s="9">
        <f t="shared" si="54"/>
        <v>0</v>
      </c>
      <c r="GW67" s="9">
        <f t="shared" si="55"/>
        <v>0</v>
      </c>
      <c r="GX67" s="77">
        <f t="shared" si="56"/>
        <v>0</v>
      </c>
      <c r="GY67" s="77">
        <f t="shared" si="57"/>
        <v>0</v>
      </c>
      <c r="GZ67" s="77">
        <f t="shared" si="58"/>
        <v>0</v>
      </c>
    </row>
    <row r="68" spans="1:208">
      <c r="A68" s="48"/>
      <c r="B68" s="49"/>
      <c r="C68" s="50"/>
      <c r="D68" s="51"/>
      <c r="E68" s="50"/>
      <c r="F68" s="52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90"/>
      <c r="V68" s="91"/>
      <c r="W68" s="92"/>
      <c r="X68" s="92"/>
      <c r="Y68" s="92"/>
      <c r="Z68" s="91"/>
      <c r="AA68" s="93"/>
      <c r="AB68" s="99"/>
      <c r="AC68" s="54"/>
      <c r="AD68" s="54"/>
      <c r="AE68" s="54"/>
      <c r="AF68" s="54"/>
      <c r="AG68" s="54"/>
      <c r="AH68" s="54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113"/>
      <c r="BB68" s="110"/>
      <c r="BC68" s="110"/>
      <c r="BD68" s="110"/>
      <c r="BE68" s="110"/>
      <c r="BF68" s="110"/>
      <c r="BG68" s="110"/>
      <c r="BH68" s="110"/>
      <c r="BI68" s="113"/>
      <c r="BJ68" s="110"/>
      <c r="BK68" s="110"/>
      <c r="BL68" s="110"/>
      <c r="BM68" s="110"/>
      <c r="BN68" s="113"/>
      <c r="BO68" s="110"/>
      <c r="BP68" s="110"/>
      <c r="BQ68" s="110"/>
      <c r="BR68" s="110"/>
      <c r="BS68" s="110"/>
      <c r="BT68" s="110"/>
      <c r="BU68" s="110"/>
      <c r="BV68" s="110"/>
      <c r="BW68" s="110"/>
      <c r="BX68" s="113"/>
      <c r="BY68" s="110"/>
      <c r="BZ68" s="110"/>
      <c r="CA68" s="110"/>
      <c r="CB68" s="110"/>
      <c r="CC68" s="110"/>
      <c r="CD68" s="110"/>
      <c r="CE68" s="110"/>
      <c r="CF68" s="110"/>
      <c r="CG68" s="113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66"/>
      <c r="DA68" s="70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56"/>
      <c r="DR68" s="57"/>
      <c r="DS68" s="58"/>
      <c r="DT68" s="58"/>
      <c r="DU68" s="58"/>
      <c r="DV68" s="58"/>
      <c r="DW68" s="58"/>
      <c r="DX68" s="58"/>
      <c r="DY68" s="58"/>
      <c r="DZ68" s="59"/>
      <c r="EA68" s="60"/>
      <c r="EB68" s="61"/>
      <c r="EC68" s="62"/>
      <c r="ED68" s="2"/>
      <c r="EE68" s="6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80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5">
        <f t="shared" si="41"/>
        <v>0</v>
      </c>
      <c r="FH68" s="84">
        <f t="shared" si="42"/>
        <v>-25</v>
      </c>
      <c r="FI68" s="64"/>
      <c r="FJ68" s="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8"/>
      <c r="GG68" s="48"/>
      <c r="GH68" s="48"/>
      <c r="GI68" s="48"/>
      <c r="GJ68" s="8"/>
      <c r="GK68" s="9">
        <f t="shared" si="43"/>
        <v>0</v>
      </c>
      <c r="GL68" s="9">
        <f t="shared" si="44"/>
        <v>0</v>
      </c>
      <c r="GM68" s="9">
        <f t="shared" si="45"/>
        <v>0</v>
      </c>
      <c r="GN68" s="9">
        <f t="shared" si="46"/>
        <v>0</v>
      </c>
      <c r="GO68" s="9">
        <f t="shared" si="47"/>
        <v>0</v>
      </c>
      <c r="GP68" s="9">
        <f t="shared" si="48"/>
        <v>0</v>
      </c>
      <c r="GQ68" s="9">
        <f t="shared" si="49"/>
        <v>0</v>
      </c>
      <c r="GR68" s="9">
        <f t="shared" si="50"/>
        <v>0</v>
      </c>
      <c r="GS68" s="9">
        <f t="shared" si="51"/>
        <v>0</v>
      </c>
      <c r="GT68" s="9">
        <f t="shared" si="52"/>
        <v>0</v>
      </c>
      <c r="GU68" s="9">
        <f t="shared" si="53"/>
        <v>0</v>
      </c>
      <c r="GV68" s="9">
        <f t="shared" si="54"/>
        <v>0</v>
      </c>
      <c r="GW68" s="9">
        <f t="shared" si="55"/>
        <v>0</v>
      </c>
      <c r="GX68" s="77">
        <f t="shared" si="56"/>
        <v>0</v>
      </c>
      <c r="GY68" s="77">
        <f t="shared" si="57"/>
        <v>0</v>
      </c>
      <c r="GZ68" s="77">
        <f t="shared" si="58"/>
        <v>0</v>
      </c>
    </row>
    <row r="69" spans="1:208">
      <c r="A69" s="48"/>
      <c r="B69" s="49"/>
      <c r="C69" s="50"/>
      <c r="D69" s="51"/>
      <c r="E69" s="50"/>
      <c r="F69" s="52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90"/>
      <c r="V69" s="91"/>
      <c r="W69" s="92"/>
      <c r="X69" s="92"/>
      <c r="Y69" s="92"/>
      <c r="Z69" s="91"/>
      <c r="AA69" s="93"/>
      <c r="AB69" s="99"/>
      <c r="AC69" s="54"/>
      <c r="AD69" s="54"/>
      <c r="AE69" s="54"/>
      <c r="AF69" s="54"/>
      <c r="AG69" s="54"/>
      <c r="AH69" s="54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113"/>
      <c r="BB69" s="110"/>
      <c r="BC69" s="110"/>
      <c r="BD69" s="110"/>
      <c r="BE69" s="110"/>
      <c r="BF69" s="110"/>
      <c r="BG69" s="110"/>
      <c r="BH69" s="110"/>
      <c r="BI69" s="113"/>
      <c r="BJ69" s="110"/>
      <c r="BK69" s="110"/>
      <c r="BL69" s="110"/>
      <c r="BM69" s="110"/>
      <c r="BN69" s="113"/>
      <c r="BO69" s="110"/>
      <c r="BP69" s="110"/>
      <c r="BQ69" s="110"/>
      <c r="BR69" s="110"/>
      <c r="BS69" s="110"/>
      <c r="BT69" s="110"/>
      <c r="BU69" s="110"/>
      <c r="BV69" s="110"/>
      <c r="BW69" s="110"/>
      <c r="BX69" s="113"/>
      <c r="BY69" s="110"/>
      <c r="BZ69" s="110"/>
      <c r="CA69" s="110"/>
      <c r="CB69" s="110"/>
      <c r="CC69" s="110"/>
      <c r="CD69" s="110"/>
      <c r="CE69" s="110"/>
      <c r="CF69" s="110"/>
      <c r="CG69" s="113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66"/>
      <c r="DA69" s="70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56"/>
      <c r="DR69" s="57"/>
      <c r="DS69" s="58"/>
      <c r="DT69" s="58"/>
      <c r="DU69" s="58"/>
      <c r="DV69" s="58"/>
      <c r="DW69" s="58"/>
      <c r="DX69" s="58"/>
      <c r="DY69" s="58"/>
      <c r="DZ69" s="59"/>
      <c r="EA69" s="60"/>
      <c r="EB69" s="61"/>
      <c r="EC69" s="62"/>
      <c r="ED69" s="2"/>
      <c r="EE69" s="6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ER69" s="63"/>
      <c r="ES69" s="63"/>
      <c r="ET69" s="63"/>
      <c r="EU69" s="80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5">
        <f t="shared" si="41"/>
        <v>0</v>
      </c>
      <c r="FH69" s="84">
        <f t="shared" si="42"/>
        <v>-25</v>
      </c>
      <c r="FI69" s="64"/>
      <c r="FJ69" s="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8"/>
      <c r="GK69" s="9">
        <f t="shared" si="43"/>
        <v>0</v>
      </c>
      <c r="GL69" s="9">
        <f t="shared" si="44"/>
        <v>0</v>
      </c>
      <c r="GM69" s="9">
        <f t="shared" si="45"/>
        <v>0</v>
      </c>
      <c r="GN69" s="9">
        <f t="shared" si="46"/>
        <v>0</v>
      </c>
      <c r="GO69" s="9">
        <f t="shared" si="47"/>
        <v>0</v>
      </c>
      <c r="GP69" s="9">
        <f t="shared" si="48"/>
        <v>0</v>
      </c>
      <c r="GQ69" s="9">
        <f t="shared" si="49"/>
        <v>0</v>
      </c>
      <c r="GR69" s="9">
        <f t="shared" si="50"/>
        <v>0</v>
      </c>
      <c r="GS69" s="9">
        <f t="shared" si="51"/>
        <v>0</v>
      </c>
      <c r="GT69" s="9">
        <f t="shared" si="52"/>
        <v>0</v>
      </c>
      <c r="GU69" s="9">
        <f t="shared" si="53"/>
        <v>0</v>
      </c>
      <c r="GV69" s="9">
        <f t="shared" si="54"/>
        <v>0</v>
      </c>
      <c r="GW69" s="9">
        <f t="shared" si="55"/>
        <v>0</v>
      </c>
      <c r="GX69" s="77">
        <f t="shared" si="56"/>
        <v>0</v>
      </c>
      <c r="GY69" s="77">
        <f t="shared" si="57"/>
        <v>0</v>
      </c>
      <c r="GZ69" s="77">
        <f t="shared" si="58"/>
        <v>0</v>
      </c>
    </row>
    <row r="70" spans="1:208">
      <c r="A70" s="48"/>
      <c r="B70" s="49"/>
      <c r="C70" s="50"/>
      <c r="D70" s="51"/>
      <c r="E70" s="50"/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90"/>
      <c r="V70" s="91"/>
      <c r="W70" s="92"/>
      <c r="X70" s="92"/>
      <c r="Y70" s="92"/>
      <c r="Z70" s="91"/>
      <c r="AA70" s="93"/>
      <c r="AB70" s="99"/>
      <c r="AC70" s="54"/>
      <c r="AD70" s="54"/>
      <c r="AE70" s="54"/>
      <c r="AF70" s="54"/>
      <c r="AG70" s="54"/>
      <c r="AH70" s="54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113"/>
      <c r="BB70" s="110"/>
      <c r="BC70" s="110"/>
      <c r="BD70" s="110"/>
      <c r="BE70" s="110"/>
      <c r="BF70" s="110"/>
      <c r="BG70" s="110"/>
      <c r="BH70" s="110"/>
      <c r="BI70" s="113"/>
      <c r="BJ70" s="110"/>
      <c r="BK70" s="110"/>
      <c r="BL70" s="110"/>
      <c r="BM70" s="110"/>
      <c r="BN70" s="113"/>
      <c r="BO70" s="110"/>
      <c r="BP70" s="110"/>
      <c r="BQ70" s="110"/>
      <c r="BR70" s="110"/>
      <c r="BS70" s="110"/>
      <c r="BT70" s="110"/>
      <c r="BU70" s="110"/>
      <c r="BV70" s="110"/>
      <c r="BW70" s="110"/>
      <c r="BX70" s="113"/>
      <c r="BY70" s="110"/>
      <c r="BZ70" s="110"/>
      <c r="CA70" s="110"/>
      <c r="CB70" s="110"/>
      <c r="CC70" s="110"/>
      <c r="CD70" s="110"/>
      <c r="CE70" s="110"/>
      <c r="CF70" s="110"/>
      <c r="CG70" s="113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66"/>
      <c r="DA70" s="70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56"/>
      <c r="DR70" s="57"/>
      <c r="DS70" s="58"/>
      <c r="DT70" s="58"/>
      <c r="DU70" s="58"/>
      <c r="DV70" s="58"/>
      <c r="DW70" s="58"/>
      <c r="DX70" s="58"/>
      <c r="DY70" s="58"/>
      <c r="DZ70" s="59"/>
      <c r="EA70" s="60"/>
      <c r="EB70" s="61"/>
      <c r="EC70" s="62"/>
      <c r="ED70" s="2"/>
      <c r="EE70" s="6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80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5">
        <f t="shared" si="41"/>
        <v>0</v>
      </c>
      <c r="FH70" s="84">
        <f t="shared" si="42"/>
        <v>-25</v>
      </c>
      <c r="FI70" s="64"/>
      <c r="FJ70" s="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8"/>
      <c r="GG70" s="48"/>
      <c r="GH70" s="48"/>
      <c r="GI70" s="48"/>
      <c r="GJ70" s="8"/>
      <c r="GK70" s="9">
        <f t="shared" si="43"/>
        <v>0</v>
      </c>
      <c r="GL70" s="9">
        <f t="shared" si="44"/>
        <v>0</v>
      </c>
      <c r="GM70" s="9">
        <f t="shared" si="45"/>
        <v>0</v>
      </c>
      <c r="GN70" s="9">
        <f t="shared" si="46"/>
        <v>0</v>
      </c>
      <c r="GO70" s="9">
        <f t="shared" si="47"/>
        <v>0</v>
      </c>
      <c r="GP70" s="9">
        <f t="shared" si="48"/>
        <v>0</v>
      </c>
      <c r="GQ70" s="9">
        <f t="shared" si="49"/>
        <v>0</v>
      </c>
      <c r="GR70" s="9">
        <f t="shared" si="50"/>
        <v>0</v>
      </c>
      <c r="GS70" s="9">
        <f t="shared" si="51"/>
        <v>0</v>
      </c>
      <c r="GT70" s="9">
        <f t="shared" si="52"/>
        <v>0</v>
      </c>
      <c r="GU70" s="9">
        <f t="shared" si="53"/>
        <v>0</v>
      </c>
      <c r="GV70" s="9">
        <f t="shared" si="54"/>
        <v>0</v>
      </c>
      <c r="GW70" s="9">
        <f t="shared" si="55"/>
        <v>0</v>
      </c>
      <c r="GX70" s="77">
        <f t="shared" si="56"/>
        <v>0</v>
      </c>
      <c r="GY70" s="77">
        <f t="shared" si="57"/>
        <v>0</v>
      </c>
      <c r="GZ70" s="77">
        <f t="shared" si="58"/>
        <v>0</v>
      </c>
    </row>
    <row r="71" spans="1:208">
      <c r="A71" s="48"/>
      <c r="B71" s="49"/>
      <c r="C71" s="50"/>
      <c r="D71" s="51"/>
      <c r="E71" s="50"/>
      <c r="F71" s="52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90"/>
      <c r="V71" s="91"/>
      <c r="W71" s="92"/>
      <c r="X71" s="92"/>
      <c r="Y71" s="92"/>
      <c r="Z71" s="91"/>
      <c r="AA71" s="93"/>
      <c r="AB71" s="99"/>
      <c r="AC71" s="54"/>
      <c r="AD71" s="54"/>
      <c r="AE71" s="54"/>
      <c r="AF71" s="54"/>
      <c r="AG71" s="54"/>
      <c r="AH71" s="54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113"/>
      <c r="BB71" s="110"/>
      <c r="BC71" s="110"/>
      <c r="BD71" s="110"/>
      <c r="BE71" s="110"/>
      <c r="BF71" s="110"/>
      <c r="BG71" s="110"/>
      <c r="BH71" s="110"/>
      <c r="BI71" s="113"/>
      <c r="BJ71" s="110"/>
      <c r="BK71" s="110"/>
      <c r="BL71" s="110"/>
      <c r="BM71" s="110"/>
      <c r="BN71" s="113"/>
      <c r="BO71" s="110"/>
      <c r="BP71" s="110"/>
      <c r="BQ71" s="110"/>
      <c r="BR71" s="110"/>
      <c r="BS71" s="110"/>
      <c r="BT71" s="110"/>
      <c r="BU71" s="110"/>
      <c r="BV71" s="110"/>
      <c r="BW71" s="110"/>
      <c r="BX71" s="113"/>
      <c r="BY71" s="110"/>
      <c r="BZ71" s="110"/>
      <c r="CA71" s="110"/>
      <c r="CB71" s="110"/>
      <c r="CC71" s="110"/>
      <c r="CD71" s="110"/>
      <c r="CE71" s="110"/>
      <c r="CF71" s="110"/>
      <c r="CG71" s="113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66"/>
      <c r="DA71" s="70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56"/>
      <c r="DR71" s="57"/>
      <c r="DS71" s="58"/>
      <c r="DT71" s="58"/>
      <c r="DU71" s="58"/>
      <c r="DV71" s="58"/>
      <c r="DW71" s="58"/>
      <c r="DX71" s="58"/>
      <c r="DY71" s="58"/>
      <c r="DZ71" s="59"/>
      <c r="EA71" s="60"/>
      <c r="EB71" s="61"/>
      <c r="EC71" s="62"/>
      <c r="ED71" s="2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80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5">
        <f t="shared" si="41"/>
        <v>0</v>
      </c>
      <c r="FH71" s="84">
        <f t="shared" si="42"/>
        <v>-25</v>
      </c>
      <c r="FI71" s="64"/>
      <c r="FJ71" s="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8"/>
      <c r="GK71" s="9">
        <f t="shared" si="43"/>
        <v>0</v>
      </c>
      <c r="GL71" s="9">
        <f t="shared" si="44"/>
        <v>0</v>
      </c>
      <c r="GM71" s="9">
        <f t="shared" si="45"/>
        <v>0</v>
      </c>
      <c r="GN71" s="9">
        <f t="shared" si="46"/>
        <v>0</v>
      </c>
      <c r="GO71" s="9">
        <f t="shared" si="47"/>
        <v>0</v>
      </c>
      <c r="GP71" s="9">
        <f t="shared" si="48"/>
        <v>0</v>
      </c>
      <c r="GQ71" s="9">
        <f t="shared" si="49"/>
        <v>0</v>
      </c>
      <c r="GR71" s="9">
        <f t="shared" si="50"/>
        <v>0</v>
      </c>
      <c r="GS71" s="9">
        <f t="shared" si="51"/>
        <v>0</v>
      </c>
      <c r="GT71" s="9">
        <f t="shared" si="52"/>
        <v>0</v>
      </c>
      <c r="GU71" s="9">
        <f t="shared" si="53"/>
        <v>0</v>
      </c>
      <c r="GV71" s="9">
        <f t="shared" si="54"/>
        <v>0</v>
      </c>
      <c r="GW71" s="9">
        <f t="shared" si="55"/>
        <v>0</v>
      </c>
      <c r="GX71" s="77">
        <f t="shared" si="56"/>
        <v>0</v>
      </c>
      <c r="GY71" s="77">
        <f t="shared" si="57"/>
        <v>0</v>
      </c>
      <c r="GZ71" s="77">
        <f t="shared" si="58"/>
        <v>0</v>
      </c>
    </row>
    <row r="72" spans="1:208">
      <c r="A72" s="48"/>
      <c r="B72" s="49"/>
      <c r="C72" s="50"/>
      <c r="D72" s="51"/>
      <c r="E72" s="50"/>
      <c r="F72" s="52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90"/>
      <c r="V72" s="91"/>
      <c r="W72" s="92"/>
      <c r="X72" s="92"/>
      <c r="Y72" s="92"/>
      <c r="Z72" s="91"/>
      <c r="AA72" s="93"/>
      <c r="AB72" s="99"/>
      <c r="AC72" s="54"/>
      <c r="AD72" s="54"/>
      <c r="AE72" s="54"/>
      <c r="AF72" s="54"/>
      <c r="AG72" s="54"/>
      <c r="AH72" s="54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113"/>
      <c r="BB72" s="110"/>
      <c r="BC72" s="110"/>
      <c r="BD72" s="110"/>
      <c r="BE72" s="110"/>
      <c r="BF72" s="110"/>
      <c r="BG72" s="110"/>
      <c r="BH72" s="110"/>
      <c r="BI72" s="113"/>
      <c r="BJ72" s="110"/>
      <c r="BK72" s="110"/>
      <c r="BL72" s="110"/>
      <c r="BM72" s="110"/>
      <c r="BN72" s="113"/>
      <c r="BO72" s="110"/>
      <c r="BP72" s="110"/>
      <c r="BQ72" s="110"/>
      <c r="BR72" s="110"/>
      <c r="BS72" s="110"/>
      <c r="BT72" s="110"/>
      <c r="BU72" s="110"/>
      <c r="BV72" s="110"/>
      <c r="BW72" s="110"/>
      <c r="BX72" s="113"/>
      <c r="BY72" s="110"/>
      <c r="BZ72" s="110"/>
      <c r="CA72" s="110"/>
      <c r="CB72" s="110"/>
      <c r="CC72" s="110"/>
      <c r="CD72" s="110"/>
      <c r="CE72" s="110"/>
      <c r="CF72" s="110"/>
      <c r="CG72" s="113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66"/>
      <c r="DA72" s="70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56"/>
      <c r="DR72" s="57"/>
      <c r="DS72" s="58"/>
      <c r="DT72" s="58"/>
      <c r="DU72" s="58"/>
      <c r="DV72" s="58"/>
      <c r="DW72" s="58"/>
      <c r="DX72" s="58"/>
      <c r="DY72" s="58"/>
      <c r="DZ72" s="59"/>
      <c r="EA72" s="60"/>
      <c r="EB72" s="61"/>
      <c r="EC72" s="62"/>
      <c r="ED72" s="2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80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5">
        <f t="shared" ref="FG72:FG96" si="60">SUM(EW72:FF72)</f>
        <v>0</v>
      </c>
      <c r="FH72" s="84">
        <f t="shared" ref="FH72:FH96" si="61">((FG72-10)/40)*100</f>
        <v>-25</v>
      </c>
      <c r="FI72" s="64"/>
      <c r="FJ72" s="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8"/>
      <c r="GK72" s="9">
        <f t="shared" ref="GK72:GK114" si="62">FK72+FL72</f>
        <v>0</v>
      </c>
      <c r="GL72" s="9">
        <f t="shared" ref="GL72:GL114" si="63">FM72+FN72</f>
        <v>0</v>
      </c>
      <c r="GM72" s="9">
        <f t="shared" ref="GM72:GM114" si="64">FO72+FP72</f>
        <v>0</v>
      </c>
      <c r="GN72" s="9">
        <f t="shared" ref="GN72:GN114" si="65">FQ72+FR72</f>
        <v>0</v>
      </c>
      <c r="GO72" s="9">
        <f t="shared" ref="GO72:GO114" si="66">FS72+FT72</f>
        <v>0</v>
      </c>
      <c r="GP72" s="9">
        <f t="shared" ref="GP72:GP114" si="67">(2*FU72)+(2*FV72)</f>
        <v>0</v>
      </c>
      <c r="GQ72" s="9">
        <f t="shared" ref="GQ72:GQ114" si="68">(2*FW72)+(2*FX72)</f>
        <v>0</v>
      </c>
      <c r="GR72" s="9">
        <f t="shared" ref="GR72:GR114" si="69">(2*FY72)+(2*FZ72)</f>
        <v>0</v>
      </c>
      <c r="GS72" s="9">
        <f t="shared" ref="GS72:GS114" si="70">(2*GA72)+(2*GB72)</f>
        <v>0</v>
      </c>
      <c r="GT72" s="9">
        <f t="shared" ref="GT72:GT114" si="71">(2*GC72)+(2*GD72)</f>
        <v>0</v>
      </c>
      <c r="GU72" s="9">
        <f t="shared" ref="GU72:GU114" si="72">(2*GE72)+(2*GF72)</f>
        <v>0</v>
      </c>
      <c r="GV72" s="9">
        <f t="shared" ref="GV72:GV114" si="73">(2*GG72)+(2*GH72)</f>
        <v>0</v>
      </c>
      <c r="GW72" s="9">
        <f t="shared" ref="GW72:GW114" si="74">GI72+GJ72</f>
        <v>0</v>
      </c>
      <c r="GX72" s="77">
        <f t="shared" ref="GX72:GX114" si="75">GK72+GL72+GM72+GO72+GW72</f>
        <v>0</v>
      </c>
      <c r="GY72" s="77">
        <f t="shared" ref="GY72:GY114" si="76">GN72+GP72+GQ72+GR72+GS72+GT72+GU72+GV72</f>
        <v>0</v>
      </c>
      <c r="GZ72" s="77">
        <f t="shared" ref="GZ72:GZ114" si="77">SUM(GK72:GW72)</f>
        <v>0</v>
      </c>
    </row>
    <row r="73" spans="1:208">
      <c r="A73" s="48"/>
      <c r="B73" s="49"/>
      <c r="C73" s="50"/>
      <c r="D73" s="51"/>
      <c r="E73" s="50"/>
      <c r="F73" s="52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90"/>
      <c r="V73" s="91"/>
      <c r="W73" s="92"/>
      <c r="X73" s="92"/>
      <c r="Y73" s="92"/>
      <c r="Z73" s="91"/>
      <c r="AA73" s="93"/>
      <c r="AB73" s="99"/>
      <c r="AC73" s="54"/>
      <c r="AD73" s="54"/>
      <c r="AE73" s="54"/>
      <c r="AF73" s="54"/>
      <c r="AG73" s="54"/>
      <c r="AH73" s="54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113"/>
      <c r="BB73" s="110"/>
      <c r="BC73" s="110"/>
      <c r="BD73" s="110"/>
      <c r="BE73" s="110"/>
      <c r="BF73" s="110"/>
      <c r="BG73" s="110"/>
      <c r="BH73" s="110"/>
      <c r="BI73" s="113"/>
      <c r="BJ73" s="110"/>
      <c r="BK73" s="110"/>
      <c r="BL73" s="110"/>
      <c r="BM73" s="110"/>
      <c r="BN73" s="113"/>
      <c r="BO73" s="110"/>
      <c r="BP73" s="110"/>
      <c r="BQ73" s="110"/>
      <c r="BR73" s="110"/>
      <c r="BS73" s="110"/>
      <c r="BT73" s="110"/>
      <c r="BU73" s="110"/>
      <c r="BV73" s="110"/>
      <c r="BW73" s="110"/>
      <c r="BX73" s="113"/>
      <c r="BY73" s="110"/>
      <c r="BZ73" s="110"/>
      <c r="CA73" s="110"/>
      <c r="CB73" s="110"/>
      <c r="CC73" s="110"/>
      <c r="CD73" s="110"/>
      <c r="CE73" s="110"/>
      <c r="CF73" s="110"/>
      <c r="CG73" s="113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66"/>
      <c r="DA73" s="70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56"/>
      <c r="DR73" s="57"/>
      <c r="DS73" s="58"/>
      <c r="DT73" s="58"/>
      <c r="DU73" s="58"/>
      <c r="DV73" s="58"/>
      <c r="DW73" s="58"/>
      <c r="DX73" s="58"/>
      <c r="DY73" s="58"/>
      <c r="DZ73" s="59"/>
      <c r="EA73" s="60"/>
      <c r="EB73" s="61"/>
      <c r="EC73" s="62"/>
      <c r="ED73" s="2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80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5">
        <f t="shared" si="60"/>
        <v>0</v>
      </c>
      <c r="FH73" s="84">
        <f t="shared" si="61"/>
        <v>-25</v>
      </c>
      <c r="FI73" s="64"/>
      <c r="FJ73" s="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8"/>
      <c r="GG73" s="48"/>
      <c r="GH73" s="48"/>
      <c r="GI73" s="48"/>
      <c r="GJ73" s="8"/>
      <c r="GK73" s="9">
        <f t="shared" si="62"/>
        <v>0</v>
      </c>
      <c r="GL73" s="9">
        <f t="shared" si="63"/>
        <v>0</v>
      </c>
      <c r="GM73" s="9">
        <f t="shared" si="64"/>
        <v>0</v>
      </c>
      <c r="GN73" s="9">
        <f t="shared" si="65"/>
        <v>0</v>
      </c>
      <c r="GO73" s="9">
        <f t="shared" si="66"/>
        <v>0</v>
      </c>
      <c r="GP73" s="9">
        <f t="shared" si="67"/>
        <v>0</v>
      </c>
      <c r="GQ73" s="9">
        <f t="shared" si="68"/>
        <v>0</v>
      </c>
      <c r="GR73" s="9">
        <f t="shared" si="69"/>
        <v>0</v>
      </c>
      <c r="GS73" s="9">
        <f t="shared" si="70"/>
        <v>0</v>
      </c>
      <c r="GT73" s="9">
        <f t="shared" si="71"/>
        <v>0</v>
      </c>
      <c r="GU73" s="9">
        <f t="shared" si="72"/>
        <v>0</v>
      </c>
      <c r="GV73" s="9">
        <f t="shared" si="73"/>
        <v>0</v>
      </c>
      <c r="GW73" s="9">
        <f t="shared" si="74"/>
        <v>0</v>
      </c>
      <c r="GX73" s="77">
        <f t="shared" si="75"/>
        <v>0</v>
      </c>
      <c r="GY73" s="77">
        <f t="shared" si="76"/>
        <v>0</v>
      </c>
      <c r="GZ73" s="77">
        <f t="shared" si="77"/>
        <v>0</v>
      </c>
    </row>
    <row r="74" spans="1:208">
      <c r="A74" s="48"/>
      <c r="B74" s="49"/>
      <c r="C74" s="50"/>
      <c r="D74" s="51"/>
      <c r="E74" s="50"/>
      <c r="F74" s="52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90"/>
      <c r="V74" s="91"/>
      <c r="W74" s="92"/>
      <c r="X74" s="92"/>
      <c r="Y74" s="92"/>
      <c r="Z74" s="91"/>
      <c r="AA74" s="93"/>
      <c r="AB74" s="99"/>
      <c r="AC74" s="54"/>
      <c r="AD74" s="54"/>
      <c r="AE74" s="54"/>
      <c r="AF74" s="54"/>
      <c r="AG74" s="54"/>
      <c r="AH74" s="54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113"/>
      <c r="BB74" s="110"/>
      <c r="BC74" s="110"/>
      <c r="BD74" s="110"/>
      <c r="BE74" s="110"/>
      <c r="BF74" s="110"/>
      <c r="BG74" s="110"/>
      <c r="BH74" s="110"/>
      <c r="BI74" s="113"/>
      <c r="BJ74" s="110"/>
      <c r="BK74" s="110"/>
      <c r="BL74" s="110"/>
      <c r="BM74" s="110"/>
      <c r="BN74" s="113"/>
      <c r="BO74" s="110"/>
      <c r="BP74" s="110"/>
      <c r="BQ74" s="110"/>
      <c r="BR74" s="110"/>
      <c r="BS74" s="110"/>
      <c r="BT74" s="110"/>
      <c r="BU74" s="110"/>
      <c r="BV74" s="110"/>
      <c r="BW74" s="110"/>
      <c r="BX74" s="113"/>
      <c r="BY74" s="110"/>
      <c r="BZ74" s="110"/>
      <c r="CA74" s="110"/>
      <c r="CB74" s="110"/>
      <c r="CC74" s="110"/>
      <c r="CD74" s="110"/>
      <c r="CE74" s="110"/>
      <c r="CF74" s="110"/>
      <c r="CG74" s="113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66"/>
      <c r="DA74" s="70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56"/>
      <c r="DR74" s="57"/>
      <c r="DS74" s="58"/>
      <c r="DT74" s="58"/>
      <c r="DU74" s="58"/>
      <c r="DV74" s="58"/>
      <c r="DW74" s="58"/>
      <c r="DX74" s="58"/>
      <c r="DY74" s="58"/>
      <c r="DZ74" s="59"/>
      <c r="EA74" s="60"/>
      <c r="EB74" s="61"/>
      <c r="EC74" s="62"/>
      <c r="ED74" s="2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80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5">
        <f t="shared" si="60"/>
        <v>0</v>
      </c>
      <c r="FH74" s="84">
        <f t="shared" si="61"/>
        <v>-25</v>
      </c>
      <c r="FI74" s="64"/>
      <c r="FJ74" s="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8"/>
      <c r="GG74" s="48"/>
      <c r="GH74" s="48"/>
      <c r="GI74" s="48"/>
      <c r="GJ74" s="8"/>
      <c r="GK74" s="9">
        <f t="shared" si="62"/>
        <v>0</v>
      </c>
      <c r="GL74" s="9">
        <f t="shared" si="63"/>
        <v>0</v>
      </c>
      <c r="GM74" s="9">
        <f t="shared" si="64"/>
        <v>0</v>
      </c>
      <c r="GN74" s="9">
        <f t="shared" si="65"/>
        <v>0</v>
      </c>
      <c r="GO74" s="9">
        <f t="shared" si="66"/>
        <v>0</v>
      </c>
      <c r="GP74" s="9">
        <f t="shared" si="67"/>
        <v>0</v>
      </c>
      <c r="GQ74" s="9">
        <f t="shared" si="68"/>
        <v>0</v>
      </c>
      <c r="GR74" s="9">
        <f t="shared" si="69"/>
        <v>0</v>
      </c>
      <c r="GS74" s="9">
        <f t="shared" si="70"/>
        <v>0</v>
      </c>
      <c r="GT74" s="9">
        <f t="shared" si="71"/>
        <v>0</v>
      </c>
      <c r="GU74" s="9">
        <f t="shared" si="72"/>
        <v>0</v>
      </c>
      <c r="GV74" s="9">
        <f t="shared" si="73"/>
        <v>0</v>
      </c>
      <c r="GW74" s="9">
        <f t="shared" si="74"/>
        <v>0</v>
      </c>
      <c r="GX74" s="77">
        <f t="shared" si="75"/>
        <v>0</v>
      </c>
      <c r="GY74" s="77">
        <f t="shared" si="76"/>
        <v>0</v>
      </c>
      <c r="GZ74" s="77">
        <f t="shared" si="77"/>
        <v>0</v>
      </c>
    </row>
    <row r="75" spans="1:208">
      <c r="A75" s="48"/>
      <c r="B75" s="49"/>
      <c r="C75" s="50"/>
      <c r="D75" s="51"/>
      <c r="E75" s="50"/>
      <c r="F75" s="52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90"/>
      <c r="V75" s="91"/>
      <c r="W75" s="92"/>
      <c r="X75" s="92"/>
      <c r="Y75" s="92"/>
      <c r="Z75" s="91"/>
      <c r="AA75" s="93"/>
      <c r="AB75" s="99"/>
      <c r="AC75" s="54"/>
      <c r="AD75" s="54"/>
      <c r="AE75" s="54"/>
      <c r="AF75" s="54"/>
      <c r="AG75" s="54"/>
      <c r="AH75" s="54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113"/>
      <c r="BB75" s="110"/>
      <c r="BC75" s="110"/>
      <c r="BD75" s="110"/>
      <c r="BE75" s="110"/>
      <c r="BF75" s="110"/>
      <c r="BG75" s="110"/>
      <c r="BH75" s="110"/>
      <c r="BI75" s="113"/>
      <c r="BJ75" s="110"/>
      <c r="BK75" s="110"/>
      <c r="BL75" s="110"/>
      <c r="BM75" s="110"/>
      <c r="BN75" s="113"/>
      <c r="BO75" s="110"/>
      <c r="BP75" s="110"/>
      <c r="BQ75" s="110"/>
      <c r="BR75" s="110"/>
      <c r="BS75" s="110"/>
      <c r="BT75" s="110"/>
      <c r="BU75" s="110"/>
      <c r="BV75" s="110"/>
      <c r="BW75" s="110"/>
      <c r="BX75" s="113"/>
      <c r="BY75" s="110"/>
      <c r="BZ75" s="110"/>
      <c r="CA75" s="110"/>
      <c r="CB75" s="110"/>
      <c r="CC75" s="110"/>
      <c r="CD75" s="110"/>
      <c r="CE75" s="110"/>
      <c r="CF75" s="110"/>
      <c r="CG75" s="113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66"/>
      <c r="DA75" s="70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56"/>
      <c r="DR75" s="57"/>
      <c r="DS75" s="58"/>
      <c r="DT75" s="58"/>
      <c r="DU75" s="58"/>
      <c r="DV75" s="58"/>
      <c r="DW75" s="58"/>
      <c r="DX75" s="58"/>
      <c r="DY75" s="58"/>
      <c r="DZ75" s="59"/>
      <c r="EA75" s="60"/>
      <c r="EB75" s="61"/>
      <c r="EC75" s="62"/>
      <c r="ED75" s="2"/>
      <c r="EE75" s="6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80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5">
        <f t="shared" si="60"/>
        <v>0</v>
      </c>
      <c r="FH75" s="84">
        <f t="shared" si="61"/>
        <v>-25</v>
      </c>
      <c r="FI75" s="64"/>
      <c r="FJ75" s="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8"/>
      <c r="GG75" s="48"/>
      <c r="GH75" s="48"/>
      <c r="GI75" s="48"/>
      <c r="GJ75" s="8"/>
      <c r="GK75" s="9">
        <f t="shared" si="62"/>
        <v>0</v>
      </c>
      <c r="GL75" s="9">
        <f t="shared" si="63"/>
        <v>0</v>
      </c>
      <c r="GM75" s="9">
        <f t="shared" si="64"/>
        <v>0</v>
      </c>
      <c r="GN75" s="9">
        <f t="shared" si="65"/>
        <v>0</v>
      </c>
      <c r="GO75" s="9">
        <f t="shared" si="66"/>
        <v>0</v>
      </c>
      <c r="GP75" s="9">
        <f t="shared" si="67"/>
        <v>0</v>
      </c>
      <c r="GQ75" s="9">
        <f t="shared" si="68"/>
        <v>0</v>
      </c>
      <c r="GR75" s="9">
        <f t="shared" si="69"/>
        <v>0</v>
      </c>
      <c r="GS75" s="9">
        <f t="shared" si="70"/>
        <v>0</v>
      </c>
      <c r="GT75" s="9">
        <f t="shared" si="71"/>
        <v>0</v>
      </c>
      <c r="GU75" s="9">
        <f t="shared" si="72"/>
        <v>0</v>
      </c>
      <c r="GV75" s="9">
        <f t="shared" si="73"/>
        <v>0</v>
      </c>
      <c r="GW75" s="9">
        <f t="shared" si="74"/>
        <v>0</v>
      </c>
      <c r="GX75" s="77">
        <f t="shared" si="75"/>
        <v>0</v>
      </c>
      <c r="GY75" s="77">
        <f t="shared" si="76"/>
        <v>0</v>
      </c>
      <c r="GZ75" s="77">
        <f t="shared" si="77"/>
        <v>0</v>
      </c>
    </row>
    <row r="76" spans="1:208">
      <c r="A76" s="48"/>
      <c r="B76" s="49"/>
      <c r="C76" s="50"/>
      <c r="D76" s="51"/>
      <c r="E76" s="50"/>
      <c r="F76" s="52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90"/>
      <c r="V76" s="91"/>
      <c r="W76" s="92"/>
      <c r="X76" s="92"/>
      <c r="Y76" s="92"/>
      <c r="Z76" s="91"/>
      <c r="AA76" s="93"/>
      <c r="AB76" s="99"/>
      <c r="AC76" s="54"/>
      <c r="AD76" s="54"/>
      <c r="AE76" s="54"/>
      <c r="AF76" s="54"/>
      <c r="AG76" s="54"/>
      <c r="AH76" s="54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113"/>
      <c r="BB76" s="110"/>
      <c r="BC76" s="110"/>
      <c r="BD76" s="110"/>
      <c r="BE76" s="110"/>
      <c r="BF76" s="110"/>
      <c r="BG76" s="110"/>
      <c r="BH76" s="110"/>
      <c r="BI76" s="113"/>
      <c r="BJ76" s="110"/>
      <c r="BK76" s="110"/>
      <c r="BL76" s="110"/>
      <c r="BM76" s="110"/>
      <c r="BN76" s="113"/>
      <c r="BO76" s="110"/>
      <c r="BP76" s="110"/>
      <c r="BQ76" s="110"/>
      <c r="BR76" s="110"/>
      <c r="BS76" s="110"/>
      <c r="BT76" s="110"/>
      <c r="BU76" s="110"/>
      <c r="BV76" s="110"/>
      <c r="BW76" s="110"/>
      <c r="BX76" s="113"/>
      <c r="BY76" s="110"/>
      <c r="BZ76" s="110"/>
      <c r="CA76" s="110"/>
      <c r="CB76" s="110"/>
      <c r="CC76" s="110"/>
      <c r="CD76" s="110"/>
      <c r="CE76" s="110"/>
      <c r="CF76" s="110"/>
      <c r="CG76" s="113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66"/>
      <c r="DA76" s="70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56"/>
      <c r="DR76" s="57"/>
      <c r="DS76" s="58"/>
      <c r="DT76" s="58"/>
      <c r="DU76" s="58"/>
      <c r="DV76" s="58"/>
      <c r="DW76" s="58"/>
      <c r="DX76" s="58"/>
      <c r="DY76" s="58"/>
      <c r="DZ76" s="59"/>
      <c r="EA76" s="60"/>
      <c r="EB76" s="61"/>
      <c r="EC76" s="62"/>
      <c r="ED76" s="2"/>
      <c r="EE76" s="6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80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5">
        <f t="shared" si="60"/>
        <v>0</v>
      </c>
      <c r="FH76" s="84">
        <f t="shared" si="61"/>
        <v>-25</v>
      </c>
      <c r="FI76" s="64"/>
      <c r="FJ76" s="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8"/>
      <c r="GG76" s="48"/>
      <c r="GH76" s="48"/>
      <c r="GI76" s="48"/>
      <c r="GJ76" s="8"/>
      <c r="GK76" s="9">
        <f t="shared" si="62"/>
        <v>0</v>
      </c>
      <c r="GL76" s="9">
        <f t="shared" si="63"/>
        <v>0</v>
      </c>
      <c r="GM76" s="9">
        <f t="shared" si="64"/>
        <v>0</v>
      </c>
      <c r="GN76" s="9">
        <f t="shared" si="65"/>
        <v>0</v>
      </c>
      <c r="GO76" s="9">
        <f t="shared" si="66"/>
        <v>0</v>
      </c>
      <c r="GP76" s="9">
        <f t="shared" si="67"/>
        <v>0</v>
      </c>
      <c r="GQ76" s="9">
        <f t="shared" si="68"/>
        <v>0</v>
      </c>
      <c r="GR76" s="9">
        <f t="shared" si="69"/>
        <v>0</v>
      </c>
      <c r="GS76" s="9">
        <f t="shared" si="70"/>
        <v>0</v>
      </c>
      <c r="GT76" s="9">
        <f t="shared" si="71"/>
        <v>0</v>
      </c>
      <c r="GU76" s="9">
        <f t="shared" si="72"/>
        <v>0</v>
      </c>
      <c r="GV76" s="9">
        <f t="shared" si="73"/>
        <v>0</v>
      </c>
      <c r="GW76" s="9">
        <f t="shared" si="74"/>
        <v>0</v>
      </c>
      <c r="GX76" s="77">
        <f t="shared" si="75"/>
        <v>0</v>
      </c>
      <c r="GY76" s="77">
        <f t="shared" si="76"/>
        <v>0</v>
      </c>
      <c r="GZ76" s="77">
        <f t="shared" si="77"/>
        <v>0</v>
      </c>
    </row>
    <row r="77" spans="1:208">
      <c r="A77" s="48"/>
      <c r="B77" s="49"/>
      <c r="C77" s="50"/>
      <c r="D77" s="51"/>
      <c r="E77" s="50"/>
      <c r="F77" s="52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90"/>
      <c r="V77" s="91"/>
      <c r="W77" s="92"/>
      <c r="X77" s="92"/>
      <c r="Y77" s="92"/>
      <c r="Z77" s="91"/>
      <c r="AA77" s="93"/>
      <c r="AB77" s="99"/>
      <c r="AC77" s="54"/>
      <c r="AD77" s="54"/>
      <c r="AE77" s="54"/>
      <c r="AF77" s="54"/>
      <c r="AG77" s="54"/>
      <c r="AH77" s="54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113"/>
      <c r="BB77" s="110"/>
      <c r="BC77" s="110"/>
      <c r="BD77" s="110"/>
      <c r="BE77" s="110"/>
      <c r="BF77" s="110"/>
      <c r="BG77" s="110"/>
      <c r="BH77" s="110"/>
      <c r="BI77" s="113"/>
      <c r="BJ77" s="110"/>
      <c r="BK77" s="110"/>
      <c r="BL77" s="110"/>
      <c r="BM77" s="110"/>
      <c r="BN77" s="113"/>
      <c r="BO77" s="110"/>
      <c r="BP77" s="110"/>
      <c r="BQ77" s="110"/>
      <c r="BR77" s="110"/>
      <c r="BS77" s="110"/>
      <c r="BT77" s="110"/>
      <c r="BU77" s="110"/>
      <c r="BV77" s="110"/>
      <c r="BW77" s="110"/>
      <c r="BX77" s="113"/>
      <c r="BY77" s="110"/>
      <c r="BZ77" s="110"/>
      <c r="CA77" s="110"/>
      <c r="CB77" s="110"/>
      <c r="CC77" s="110"/>
      <c r="CD77" s="110"/>
      <c r="CE77" s="110"/>
      <c r="CF77" s="110"/>
      <c r="CG77" s="113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66"/>
      <c r="DA77" s="70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56"/>
      <c r="DR77" s="57"/>
      <c r="DS77" s="58"/>
      <c r="DT77" s="58"/>
      <c r="DU77" s="58"/>
      <c r="DV77" s="58"/>
      <c r="DW77" s="58"/>
      <c r="DX77" s="58"/>
      <c r="DY77" s="58"/>
      <c r="DZ77" s="59"/>
      <c r="EA77" s="60"/>
      <c r="EB77" s="61"/>
      <c r="EC77" s="62"/>
      <c r="ED77" s="2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80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5">
        <f t="shared" si="60"/>
        <v>0</v>
      </c>
      <c r="FH77" s="84">
        <f t="shared" si="61"/>
        <v>-25</v>
      </c>
      <c r="FI77" s="64"/>
      <c r="FJ77" s="8"/>
      <c r="FK77" s="48"/>
      <c r="FL77" s="48"/>
      <c r="FM77" s="48"/>
      <c r="FN77" s="48"/>
      <c r="FO77" s="48"/>
      <c r="FP77" s="48"/>
      <c r="FQ77" s="48"/>
      <c r="FR77" s="48"/>
      <c r="FS77" s="48"/>
      <c r="FT77" s="48"/>
      <c r="FU77" s="48"/>
      <c r="FV77" s="48"/>
      <c r="FW77" s="48"/>
      <c r="FX77" s="48"/>
      <c r="FY77" s="48"/>
      <c r="FZ77" s="48"/>
      <c r="GA77" s="48"/>
      <c r="GB77" s="48"/>
      <c r="GC77" s="48"/>
      <c r="GD77" s="48"/>
      <c r="GE77" s="48"/>
      <c r="GF77" s="48"/>
      <c r="GG77" s="48"/>
      <c r="GH77" s="48"/>
      <c r="GI77" s="48"/>
      <c r="GJ77" s="8"/>
      <c r="GK77" s="9">
        <f t="shared" si="62"/>
        <v>0</v>
      </c>
      <c r="GL77" s="9">
        <f t="shared" si="63"/>
        <v>0</v>
      </c>
      <c r="GM77" s="9">
        <f t="shared" si="64"/>
        <v>0</v>
      </c>
      <c r="GN77" s="9">
        <f t="shared" si="65"/>
        <v>0</v>
      </c>
      <c r="GO77" s="9">
        <f t="shared" si="66"/>
        <v>0</v>
      </c>
      <c r="GP77" s="9">
        <f t="shared" si="67"/>
        <v>0</v>
      </c>
      <c r="GQ77" s="9">
        <f t="shared" si="68"/>
        <v>0</v>
      </c>
      <c r="GR77" s="9">
        <f t="shared" si="69"/>
        <v>0</v>
      </c>
      <c r="GS77" s="9">
        <f t="shared" si="70"/>
        <v>0</v>
      </c>
      <c r="GT77" s="9">
        <f t="shared" si="71"/>
        <v>0</v>
      </c>
      <c r="GU77" s="9">
        <f t="shared" si="72"/>
        <v>0</v>
      </c>
      <c r="GV77" s="9">
        <f t="shared" si="73"/>
        <v>0</v>
      </c>
      <c r="GW77" s="9">
        <f t="shared" si="74"/>
        <v>0</v>
      </c>
      <c r="GX77" s="77">
        <f t="shared" si="75"/>
        <v>0</v>
      </c>
      <c r="GY77" s="77">
        <f t="shared" si="76"/>
        <v>0</v>
      </c>
      <c r="GZ77" s="77">
        <f t="shared" si="77"/>
        <v>0</v>
      </c>
    </row>
    <row r="78" spans="1:208">
      <c r="A78" s="48"/>
      <c r="B78" s="49"/>
      <c r="C78" s="50"/>
      <c r="D78" s="51"/>
      <c r="E78" s="50"/>
      <c r="F78" s="52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90"/>
      <c r="V78" s="91"/>
      <c r="W78" s="92"/>
      <c r="X78" s="92"/>
      <c r="Y78" s="92"/>
      <c r="Z78" s="91"/>
      <c r="AA78" s="93"/>
      <c r="AB78" s="99"/>
      <c r="AC78" s="54"/>
      <c r="AD78" s="54"/>
      <c r="AE78" s="54"/>
      <c r="AF78" s="54"/>
      <c r="AG78" s="54"/>
      <c r="AH78" s="54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113"/>
      <c r="BB78" s="110"/>
      <c r="BC78" s="110"/>
      <c r="BD78" s="110"/>
      <c r="BE78" s="110"/>
      <c r="BF78" s="110"/>
      <c r="BG78" s="110"/>
      <c r="BH78" s="110"/>
      <c r="BI78" s="113"/>
      <c r="BJ78" s="110"/>
      <c r="BK78" s="110"/>
      <c r="BL78" s="110"/>
      <c r="BM78" s="110"/>
      <c r="BN78" s="113"/>
      <c r="BO78" s="110"/>
      <c r="BP78" s="110"/>
      <c r="BQ78" s="110"/>
      <c r="BR78" s="110"/>
      <c r="BS78" s="110"/>
      <c r="BT78" s="110"/>
      <c r="BU78" s="110"/>
      <c r="BV78" s="110"/>
      <c r="BW78" s="110"/>
      <c r="BX78" s="113"/>
      <c r="BY78" s="110"/>
      <c r="BZ78" s="110"/>
      <c r="CA78" s="110"/>
      <c r="CB78" s="110"/>
      <c r="CC78" s="110"/>
      <c r="CD78" s="110"/>
      <c r="CE78" s="110"/>
      <c r="CF78" s="110"/>
      <c r="CG78" s="113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66"/>
      <c r="DA78" s="70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56"/>
      <c r="DR78" s="57"/>
      <c r="DS78" s="58"/>
      <c r="DT78" s="58"/>
      <c r="DU78" s="58"/>
      <c r="DV78" s="58"/>
      <c r="DW78" s="58"/>
      <c r="DX78" s="58"/>
      <c r="DY78" s="58"/>
      <c r="DZ78" s="59"/>
      <c r="EA78" s="60"/>
      <c r="EB78" s="61"/>
      <c r="EC78" s="62"/>
      <c r="ED78" s="2"/>
      <c r="EE78" s="6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80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5">
        <f t="shared" si="60"/>
        <v>0</v>
      </c>
      <c r="FH78" s="84">
        <f t="shared" si="61"/>
        <v>-25</v>
      </c>
      <c r="FI78" s="64"/>
      <c r="FJ78" s="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8"/>
      <c r="GG78" s="48"/>
      <c r="GH78" s="48"/>
      <c r="GI78" s="48"/>
      <c r="GJ78" s="8"/>
      <c r="GK78" s="9">
        <f t="shared" si="62"/>
        <v>0</v>
      </c>
      <c r="GL78" s="9">
        <f t="shared" si="63"/>
        <v>0</v>
      </c>
      <c r="GM78" s="9">
        <f t="shared" si="64"/>
        <v>0</v>
      </c>
      <c r="GN78" s="9">
        <f t="shared" si="65"/>
        <v>0</v>
      </c>
      <c r="GO78" s="9">
        <f t="shared" si="66"/>
        <v>0</v>
      </c>
      <c r="GP78" s="9">
        <f t="shared" si="67"/>
        <v>0</v>
      </c>
      <c r="GQ78" s="9">
        <f t="shared" si="68"/>
        <v>0</v>
      </c>
      <c r="GR78" s="9">
        <f t="shared" si="69"/>
        <v>0</v>
      </c>
      <c r="GS78" s="9">
        <f t="shared" si="70"/>
        <v>0</v>
      </c>
      <c r="GT78" s="9">
        <f t="shared" si="71"/>
        <v>0</v>
      </c>
      <c r="GU78" s="9">
        <f t="shared" si="72"/>
        <v>0</v>
      </c>
      <c r="GV78" s="9">
        <f t="shared" si="73"/>
        <v>0</v>
      </c>
      <c r="GW78" s="9">
        <f t="shared" si="74"/>
        <v>0</v>
      </c>
      <c r="GX78" s="77">
        <f t="shared" si="75"/>
        <v>0</v>
      </c>
      <c r="GY78" s="77">
        <f t="shared" si="76"/>
        <v>0</v>
      </c>
      <c r="GZ78" s="77">
        <f t="shared" si="77"/>
        <v>0</v>
      </c>
    </row>
    <row r="79" spans="1:208">
      <c r="A79" s="48"/>
      <c r="B79" s="49"/>
      <c r="C79" s="50"/>
      <c r="D79" s="51"/>
      <c r="E79" s="50"/>
      <c r="F79" s="52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90"/>
      <c r="V79" s="91"/>
      <c r="W79" s="92"/>
      <c r="X79" s="92"/>
      <c r="Y79" s="92"/>
      <c r="Z79" s="91"/>
      <c r="AA79" s="93"/>
      <c r="AB79" s="99"/>
      <c r="AC79" s="54"/>
      <c r="AD79" s="54"/>
      <c r="AE79" s="54"/>
      <c r="AF79" s="54"/>
      <c r="AG79" s="54"/>
      <c r="AH79" s="54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113"/>
      <c r="BB79" s="110"/>
      <c r="BC79" s="110"/>
      <c r="BD79" s="110"/>
      <c r="BE79" s="110"/>
      <c r="BF79" s="110"/>
      <c r="BG79" s="110"/>
      <c r="BH79" s="110"/>
      <c r="BI79" s="113"/>
      <c r="BJ79" s="110"/>
      <c r="BK79" s="110"/>
      <c r="BL79" s="110"/>
      <c r="BM79" s="110"/>
      <c r="BN79" s="113"/>
      <c r="BO79" s="110"/>
      <c r="BP79" s="110"/>
      <c r="BQ79" s="110"/>
      <c r="BR79" s="110"/>
      <c r="BS79" s="110"/>
      <c r="BT79" s="110"/>
      <c r="BU79" s="110"/>
      <c r="BV79" s="110"/>
      <c r="BW79" s="110"/>
      <c r="BX79" s="113"/>
      <c r="BY79" s="110"/>
      <c r="BZ79" s="110"/>
      <c r="CA79" s="110"/>
      <c r="CB79" s="110"/>
      <c r="CC79" s="110"/>
      <c r="CD79" s="110"/>
      <c r="CE79" s="110"/>
      <c r="CF79" s="110"/>
      <c r="CG79" s="113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66"/>
      <c r="DA79" s="70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56"/>
      <c r="DR79" s="57"/>
      <c r="DS79" s="58"/>
      <c r="DT79" s="58"/>
      <c r="DU79" s="58"/>
      <c r="DV79" s="58"/>
      <c r="DW79" s="58"/>
      <c r="DX79" s="58"/>
      <c r="DY79" s="58"/>
      <c r="DZ79" s="59"/>
      <c r="EA79" s="60"/>
      <c r="EB79" s="61"/>
      <c r="EC79" s="62"/>
      <c r="ED79" s="2"/>
      <c r="EE79" s="63"/>
      <c r="EF79" s="63"/>
      <c r="EG79" s="63"/>
      <c r="EH79" s="63"/>
      <c r="EI79" s="63"/>
      <c r="EJ79" s="63"/>
      <c r="EK79" s="63"/>
      <c r="EL79" s="63"/>
      <c r="EM79" s="63"/>
      <c r="EN79" s="63"/>
      <c r="EO79" s="63"/>
      <c r="EP79" s="63"/>
      <c r="EQ79" s="63"/>
      <c r="ER79" s="63"/>
      <c r="ES79" s="63"/>
      <c r="ET79" s="63"/>
      <c r="EU79" s="80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5">
        <f t="shared" si="60"/>
        <v>0</v>
      </c>
      <c r="FH79" s="84">
        <f t="shared" si="61"/>
        <v>-25</v>
      </c>
      <c r="FI79" s="64"/>
      <c r="FJ79" s="8"/>
      <c r="FK79" s="48"/>
      <c r="FL79" s="48"/>
      <c r="FM79" s="48"/>
      <c r="FN79" s="48"/>
      <c r="FO79" s="48"/>
      <c r="FP79" s="48"/>
      <c r="FQ79" s="48"/>
      <c r="FR79" s="48"/>
      <c r="FS79" s="48"/>
      <c r="FT79" s="48"/>
      <c r="FU79" s="48"/>
      <c r="FV79" s="48"/>
      <c r="FW79" s="48"/>
      <c r="FX79" s="48"/>
      <c r="FY79" s="48"/>
      <c r="FZ79" s="48"/>
      <c r="GA79" s="48"/>
      <c r="GB79" s="48"/>
      <c r="GC79" s="48"/>
      <c r="GD79" s="48"/>
      <c r="GE79" s="48"/>
      <c r="GF79" s="48"/>
      <c r="GG79" s="48"/>
      <c r="GH79" s="48"/>
      <c r="GI79" s="48"/>
      <c r="GJ79" s="8"/>
      <c r="GK79" s="9">
        <f t="shared" si="62"/>
        <v>0</v>
      </c>
      <c r="GL79" s="9">
        <f t="shared" si="63"/>
        <v>0</v>
      </c>
      <c r="GM79" s="9">
        <f t="shared" si="64"/>
        <v>0</v>
      </c>
      <c r="GN79" s="9">
        <f t="shared" si="65"/>
        <v>0</v>
      </c>
      <c r="GO79" s="9">
        <f t="shared" si="66"/>
        <v>0</v>
      </c>
      <c r="GP79" s="9">
        <f t="shared" si="67"/>
        <v>0</v>
      </c>
      <c r="GQ79" s="9">
        <f t="shared" si="68"/>
        <v>0</v>
      </c>
      <c r="GR79" s="9">
        <f t="shared" si="69"/>
        <v>0</v>
      </c>
      <c r="GS79" s="9">
        <f t="shared" si="70"/>
        <v>0</v>
      </c>
      <c r="GT79" s="9">
        <f t="shared" si="71"/>
        <v>0</v>
      </c>
      <c r="GU79" s="9">
        <f t="shared" si="72"/>
        <v>0</v>
      </c>
      <c r="GV79" s="9">
        <f t="shared" si="73"/>
        <v>0</v>
      </c>
      <c r="GW79" s="9">
        <f t="shared" si="74"/>
        <v>0</v>
      </c>
      <c r="GX79" s="77">
        <f t="shared" si="75"/>
        <v>0</v>
      </c>
      <c r="GY79" s="77">
        <f t="shared" si="76"/>
        <v>0</v>
      </c>
      <c r="GZ79" s="77">
        <f t="shared" si="77"/>
        <v>0</v>
      </c>
    </row>
    <row r="80" spans="1:208">
      <c r="A80" s="48"/>
      <c r="B80" s="49"/>
      <c r="C80" s="50"/>
      <c r="D80" s="51"/>
      <c r="E80" s="50"/>
      <c r="F80" s="52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90"/>
      <c r="V80" s="91"/>
      <c r="W80" s="92"/>
      <c r="X80" s="92"/>
      <c r="Y80" s="92"/>
      <c r="Z80" s="91"/>
      <c r="AA80" s="93"/>
      <c r="AB80" s="99"/>
      <c r="AC80" s="54"/>
      <c r="AD80" s="54"/>
      <c r="AE80" s="54"/>
      <c r="AF80" s="54"/>
      <c r="AG80" s="54"/>
      <c r="AH80" s="54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113"/>
      <c r="BB80" s="110"/>
      <c r="BC80" s="110"/>
      <c r="BD80" s="110"/>
      <c r="BE80" s="110"/>
      <c r="BF80" s="110"/>
      <c r="BG80" s="110"/>
      <c r="BH80" s="110"/>
      <c r="BI80" s="113"/>
      <c r="BJ80" s="110"/>
      <c r="BK80" s="110"/>
      <c r="BL80" s="110"/>
      <c r="BM80" s="110"/>
      <c r="BN80" s="113"/>
      <c r="BO80" s="110"/>
      <c r="BP80" s="110"/>
      <c r="BQ80" s="110"/>
      <c r="BR80" s="110"/>
      <c r="BS80" s="110"/>
      <c r="BT80" s="110"/>
      <c r="BU80" s="110"/>
      <c r="BV80" s="110"/>
      <c r="BW80" s="110"/>
      <c r="BX80" s="113"/>
      <c r="BY80" s="110"/>
      <c r="BZ80" s="110"/>
      <c r="CA80" s="110"/>
      <c r="CB80" s="110"/>
      <c r="CC80" s="110"/>
      <c r="CD80" s="110"/>
      <c r="CE80" s="110"/>
      <c r="CF80" s="110"/>
      <c r="CG80" s="113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66"/>
      <c r="DA80" s="70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56"/>
      <c r="DR80" s="57"/>
      <c r="DS80" s="58"/>
      <c r="DT80" s="58"/>
      <c r="DU80" s="58"/>
      <c r="DV80" s="58"/>
      <c r="DW80" s="58"/>
      <c r="DX80" s="58"/>
      <c r="DY80" s="58"/>
      <c r="DZ80" s="59"/>
      <c r="EA80" s="60"/>
      <c r="EB80" s="61"/>
      <c r="EC80" s="62"/>
      <c r="ED80" s="2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80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5">
        <f t="shared" si="60"/>
        <v>0</v>
      </c>
      <c r="FH80" s="84">
        <f t="shared" si="61"/>
        <v>-25</v>
      </c>
      <c r="FI80" s="64"/>
      <c r="FJ80" s="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8"/>
      <c r="GG80" s="48"/>
      <c r="GH80" s="48"/>
      <c r="GI80" s="48"/>
      <c r="GJ80" s="8"/>
      <c r="GK80" s="9">
        <f t="shared" si="62"/>
        <v>0</v>
      </c>
      <c r="GL80" s="9">
        <f t="shared" si="63"/>
        <v>0</v>
      </c>
      <c r="GM80" s="9">
        <f t="shared" si="64"/>
        <v>0</v>
      </c>
      <c r="GN80" s="9">
        <f t="shared" si="65"/>
        <v>0</v>
      </c>
      <c r="GO80" s="9">
        <f t="shared" si="66"/>
        <v>0</v>
      </c>
      <c r="GP80" s="9">
        <f t="shared" si="67"/>
        <v>0</v>
      </c>
      <c r="GQ80" s="9">
        <f t="shared" si="68"/>
        <v>0</v>
      </c>
      <c r="GR80" s="9">
        <f t="shared" si="69"/>
        <v>0</v>
      </c>
      <c r="GS80" s="9">
        <f t="shared" si="70"/>
        <v>0</v>
      </c>
      <c r="GT80" s="9">
        <f t="shared" si="71"/>
        <v>0</v>
      </c>
      <c r="GU80" s="9">
        <f t="shared" si="72"/>
        <v>0</v>
      </c>
      <c r="GV80" s="9">
        <f t="shared" si="73"/>
        <v>0</v>
      </c>
      <c r="GW80" s="9">
        <f t="shared" si="74"/>
        <v>0</v>
      </c>
      <c r="GX80" s="77">
        <f t="shared" si="75"/>
        <v>0</v>
      </c>
      <c r="GY80" s="77">
        <f t="shared" si="76"/>
        <v>0</v>
      </c>
      <c r="GZ80" s="77">
        <f t="shared" si="77"/>
        <v>0</v>
      </c>
    </row>
    <row r="81" spans="1:208">
      <c r="A81" s="48"/>
      <c r="B81" s="49"/>
      <c r="C81" s="50"/>
      <c r="D81" s="51"/>
      <c r="E81" s="50"/>
      <c r="F81" s="52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90"/>
      <c r="V81" s="91"/>
      <c r="W81" s="92"/>
      <c r="X81" s="92"/>
      <c r="Y81" s="92"/>
      <c r="Z81" s="91"/>
      <c r="AA81" s="93"/>
      <c r="AB81" s="99"/>
      <c r="AC81" s="54"/>
      <c r="AD81" s="54"/>
      <c r="AE81" s="54"/>
      <c r="AF81" s="54"/>
      <c r="AG81" s="54"/>
      <c r="AH81" s="54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113"/>
      <c r="BB81" s="110"/>
      <c r="BC81" s="110"/>
      <c r="BD81" s="110"/>
      <c r="BE81" s="110"/>
      <c r="BF81" s="110"/>
      <c r="BG81" s="110"/>
      <c r="BH81" s="110"/>
      <c r="BI81" s="113"/>
      <c r="BJ81" s="110"/>
      <c r="BK81" s="110"/>
      <c r="BL81" s="110"/>
      <c r="BM81" s="110"/>
      <c r="BN81" s="113"/>
      <c r="BO81" s="110"/>
      <c r="BP81" s="110"/>
      <c r="BQ81" s="110"/>
      <c r="BR81" s="110"/>
      <c r="BS81" s="110"/>
      <c r="BT81" s="110"/>
      <c r="BU81" s="110"/>
      <c r="BV81" s="110"/>
      <c r="BW81" s="110"/>
      <c r="BX81" s="113"/>
      <c r="BY81" s="110"/>
      <c r="BZ81" s="110"/>
      <c r="CA81" s="110"/>
      <c r="CB81" s="110"/>
      <c r="CC81" s="110"/>
      <c r="CD81" s="110"/>
      <c r="CE81" s="110"/>
      <c r="CF81" s="110"/>
      <c r="CG81" s="113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66"/>
      <c r="DA81" s="70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56"/>
      <c r="DR81" s="57"/>
      <c r="DS81" s="58"/>
      <c r="DT81" s="58"/>
      <c r="DU81" s="58"/>
      <c r="DV81" s="58"/>
      <c r="DW81" s="58"/>
      <c r="DX81" s="58"/>
      <c r="DY81" s="58"/>
      <c r="DZ81" s="59"/>
      <c r="EA81" s="60"/>
      <c r="EB81" s="61"/>
      <c r="EC81" s="62"/>
      <c r="ED81" s="2"/>
      <c r="EE81" s="63"/>
      <c r="EF81" s="63"/>
      <c r="EG81" s="63"/>
      <c r="EH81" s="63"/>
      <c r="EI81" s="63"/>
      <c r="EJ81" s="63"/>
      <c r="EK81" s="63"/>
      <c r="EL81" s="63"/>
      <c r="EM81" s="63"/>
      <c r="EN81" s="63"/>
      <c r="EO81" s="63"/>
      <c r="EP81" s="63"/>
      <c r="EQ81" s="63"/>
      <c r="ER81" s="63"/>
      <c r="ES81" s="63"/>
      <c r="ET81" s="63"/>
      <c r="EU81" s="80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5">
        <f t="shared" si="60"/>
        <v>0</v>
      </c>
      <c r="FH81" s="84">
        <f t="shared" si="61"/>
        <v>-25</v>
      </c>
      <c r="FI81" s="64"/>
      <c r="FJ81" s="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8"/>
      <c r="GG81" s="48"/>
      <c r="GH81" s="48"/>
      <c r="GI81" s="48"/>
      <c r="GJ81" s="8"/>
      <c r="GK81" s="9">
        <f t="shared" si="62"/>
        <v>0</v>
      </c>
      <c r="GL81" s="9">
        <f t="shared" si="63"/>
        <v>0</v>
      </c>
      <c r="GM81" s="9">
        <f t="shared" si="64"/>
        <v>0</v>
      </c>
      <c r="GN81" s="9">
        <f t="shared" si="65"/>
        <v>0</v>
      </c>
      <c r="GO81" s="9">
        <f t="shared" si="66"/>
        <v>0</v>
      </c>
      <c r="GP81" s="9">
        <f t="shared" si="67"/>
        <v>0</v>
      </c>
      <c r="GQ81" s="9">
        <f t="shared" si="68"/>
        <v>0</v>
      </c>
      <c r="GR81" s="9">
        <f t="shared" si="69"/>
        <v>0</v>
      </c>
      <c r="GS81" s="9">
        <f t="shared" si="70"/>
        <v>0</v>
      </c>
      <c r="GT81" s="9">
        <f t="shared" si="71"/>
        <v>0</v>
      </c>
      <c r="GU81" s="9">
        <f t="shared" si="72"/>
        <v>0</v>
      </c>
      <c r="GV81" s="9">
        <f t="shared" si="73"/>
        <v>0</v>
      </c>
      <c r="GW81" s="9">
        <f t="shared" si="74"/>
        <v>0</v>
      </c>
      <c r="GX81" s="77">
        <f t="shared" si="75"/>
        <v>0</v>
      </c>
      <c r="GY81" s="77">
        <f t="shared" si="76"/>
        <v>0</v>
      </c>
      <c r="GZ81" s="77">
        <f t="shared" si="77"/>
        <v>0</v>
      </c>
    </row>
    <row r="82" spans="1:208">
      <c r="A82" s="48"/>
      <c r="B82" s="49"/>
      <c r="C82" s="50"/>
      <c r="D82" s="51"/>
      <c r="E82" s="50"/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90"/>
      <c r="V82" s="91"/>
      <c r="W82" s="92"/>
      <c r="X82" s="92"/>
      <c r="Y82" s="92"/>
      <c r="Z82" s="91"/>
      <c r="AA82" s="93"/>
      <c r="AB82" s="99"/>
      <c r="AC82" s="54"/>
      <c r="AD82" s="54"/>
      <c r="AE82" s="54"/>
      <c r="AF82" s="54"/>
      <c r="AG82" s="54"/>
      <c r="AH82" s="54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113"/>
      <c r="BB82" s="110"/>
      <c r="BC82" s="110"/>
      <c r="BD82" s="110"/>
      <c r="BE82" s="110"/>
      <c r="BF82" s="110"/>
      <c r="BG82" s="110"/>
      <c r="BH82" s="110"/>
      <c r="BI82" s="113"/>
      <c r="BJ82" s="110"/>
      <c r="BK82" s="110"/>
      <c r="BL82" s="110"/>
      <c r="BM82" s="110"/>
      <c r="BN82" s="113"/>
      <c r="BO82" s="110"/>
      <c r="BP82" s="110"/>
      <c r="BQ82" s="110"/>
      <c r="BR82" s="110"/>
      <c r="BS82" s="110"/>
      <c r="BT82" s="110"/>
      <c r="BU82" s="110"/>
      <c r="BV82" s="110"/>
      <c r="BW82" s="110"/>
      <c r="BX82" s="113"/>
      <c r="BY82" s="110"/>
      <c r="BZ82" s="110"/>
      <c r="CA82" s="110"/>
      <c r="CB82" s="110"/>
      <c r="CC82" s="110"/>
      <c r="CD82" s="110"/>
      <c r="CE82" s="110"/>
      <c r="CF82" s="110"/>
      <c r="CG82" s="113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66"/>
      <c r="DA82" s="70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56"/>
      <c r="DR82" s="57"/>
      <c r="DS82" s="58"/>
      <c r="DT82" s="58"/>
      <c r="DU82" s="58"/>
      <c r="DV82" s="58"/>
      <c r="DW82" s="58"/>
      <c r="DX82" s="58"/>
      <c r="DY82" s="58"/>
      <c r="DZ82" s="59"/>
      <c r="EA82" s="60"/>
      <c r="EB82" s="61"/>
      <c r="EC82" s="62"/>
      <c r="ED82" s="2"/>
      <c r="EE82" s="63"/>
      <c r="EF82" s="63"/>
      <c r="EG82" s="63"/>
      <c r="EH82" s="63"/>
      <c r="EI82" s="63"/>
      <c r="EJ82" s="63"/>
      <c r="EK82" s="63"/>
      <c r="EL82" s="63"/>
      <c r="EM82" s="63"/>
      <c r="EN82" s="63"/>
      <c r="EO82" s="63"/>
      <c r="EP82" s="63"/>
      <c r="EQ82" s="63"/>
      <c r="ER82" s="63"/>
      <c r="ES82" s="63"/>
      <c r="ET82" s="63"/>
      <c r="EU82" s="80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5">
        <f t="shared" si="60"/>
        <v>0</v>
      </c>
      <c r="FH82" s="84">
        <f t="shared" si="61"/>
        <v>-25</v>
      </c>
      <c r="FI82" s="64"/>
      <c r="FJ82" s="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8"/>
      <c r="GG82" s="48"/>
      <c r="GH82" s="48"/>
      <c r="GI82" s="48"/>
      <c r="GJ82" s="8"/>
      <c r="GK82" s="9">
        <f t="shared" si="62"/>
        <v>0</v>
      </c>
      <c r="GL82" s="9">
        <f t="shared" si="63"/>
        <v>0</v>
      </c>
      <c r="GM82" s="9">
        <f t="shared" si="64"/>
        <v>0</v>
      </c>
      <c r="GN82" s="9">
        <f t="shared" si="65"/>
        <v>0</v>
      </c>
      <c r="GO82" s="9">
        <f t="shared" si="66"/>
        <v>0</v>
      </c>
      <c r="GP82" s="9">
        <f t="shared" si="67"/>
        <v>0</v>
      </c>
      <c r="GQ82" s="9">
        <f t="shared" si="68"/>
        <v>0</v>
      </c>
      <c r="GR82" s="9">
        <f t="shared" si="69"/>
        <v>0</v>
      </c>
      <c r="GS82" s="9">
        <f t="shared" si="70"/>
        <v>0</v>
      </c>
      <c r="GT82" s="9">
        <f t="shared" si="71"/>
        <v>0</v>
      </c>
      <c r="GU82" s="9">
        <f t="shared" si="72"/>
        <v>0</v>
      </c>
      <c r="GV82" s="9">
        <f t="shared" si="73"/>
        <v>0</v>
      </c>
      <c r="GW82" s="9">
        <f t="shared" si="74"/>
        <v>0</v>
      </c>
      <c r="GX82" s="77">
        <f t="shared" si="75"/>
        <v>0</v>
      </c>
      <c r="GY82" s="77">
        <f t="shared" si="76"/>
        <v>0</v>
      </c>
      <c r="GZ82" s="77">
        <f t="shared" si="77"/>
        <v>0</v>
      </c>
    </row>
    <row r="83" spans="1:208">
      <c r="A83" s="48"/>
      <c r="B83" s="49"/>
      <c r="C83" s="50"/>
      <c r="D83" s="51"/>
      <c r="E83" s="50"/>
      <c r="F83" s="52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90"/>
      <c r="V83" s="91"/>
      <c r="W83" s="92"/>
      <c r="X83" s="92"/>
      <c r="Y83" s="92"/>
      <c r="Z83" s="91"/>
      <c r="AA83" s="93"/>
      <c r="AB83" s="99"/>
      <c r="AC83" s="54"/>
      <c r="AD83" s="54"/>
      <c r="AE83" s="54"/>
      <c r="AF83" s="54"/>
      <c r="AG83" s="54"/>
      <c r="AH83" s="54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113"/>
      <c r="BB83" s="110"/>
      <c r="BC83" s="110"/>
      <c r="BD83" s="110"/>
      <c r="BE83" s="110"/>
      <c r="BF83" s="110"/>
      <c r="BG83" s="110"/>
      <c r="BH83" s="110"/>
      <c r="BI83" s="113"/>
      <c r="BJ83" s="110"/>
      <c r="BK83" s="110"/>
      <c r="BL83" s="110"/>
      <c r="BM83" s="110"/>
      <c r="BN83" s="113"/>
      <c r="BO83" s="110"/>
      <c r="BP83" s="110"/>
      <c r="BQ83" s="110"/>
      <c r="BR83" s="110"/>
      <c r="BS83" s="110"/>
      <c r="BT83" s="110"/>
      <c r="BU83" s="110"/>
      <c r="BV83" s="110"/>
      <c r="BW83" s="110"/>
      <c r="BX83" s="113"/>
      <c r="BY83" s="110"/>
      <c r="BZ83" s="110"/>
      <c r="CA83" s="110"/>
      <c r="CB83" s="110"/>
      <c r="CC83" s="110"/>
      <c r="CD83" s="110"/>
      <c r="CE83" s="110"/>
      <c r="CF83" s="110"/>
      <c r="CG83" s="113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66"/>
      <c r="DA83" s="70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56"/>
      <c r="DR83" s="57"/>
      <c r="DS83" s="58"/>
      <c r="DT83" s="58"/>
      <c r="DU83" s="58"/>
      <c r="DV83" s="58"/>
      <c r="DW83" s="58"/>
      <c r="DX83" s="58"/>
      <c r="DY83" s="58"/>
      <c r="DZ83" s="59"/>
      <c r="EA83" s="60"/>
      <c r="EB83" s="61"/>
      <c r="EC83" s="62"/>
      <c r="ED83" s="2"/>
      <c r="EE83" s="63"/>
      <c r="EF83" s="63"/>
      <c r="EG83" s="63"/>
      <c r="EH83" s="63"/>
      <c r="EI83" s="63"/>
      <c r="EJ83" s="63"/>
      <c r="EK83" s="63"/>
      <c r="EL83" s="63"/>
      <c r="EM83" s="63"/>
      <c r="EN83" s="63"/>
      <c r="EO83" s="63"/>
      <c r="EP83" s="63"/>
      <c r="EQ83" s="63"/>
      <c r="ER83" s="63"/>
      <c r="ES83" s="63"/>
      <c r="ET83" s="63"/>
      <c r="EU83" s="80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5">
        <f t="shared" si="60"/>
        <v>0</v>
      </c>
      <c r="FH83" s="84">
        <f t="shared" si="61"/>
        <v>-25</v>
      </c>
      <c r="FI83" s="64"/>
      <c r="FJ83" s="8"/>
      <c r="FK83" s="48"/>
      <c r="FL83" s="48"/>
      <c r="FM83" s="48"/>
      <c r="FN83" s="48"/>
      <c r="FO83" s="48"/>
      <c r="FP83" s="48"/>
      <c r="FQ83" s="48"/>
      <c r="FR83" s="48"/>
      <c r="FS83" s="48"/>
      <c r="FT83" s="48"/>
      <c r="FU83" s="48"/>
      <c r="FV83" s="48"/>
      <c r="FW83" s="48"/>
      <c r="FX83" s="48"/>
      <c r="FY83" s="48"/>
      <c r="FZ83" s="48"/>
      <c r="GA83" s="48"/>
      <c r="GB83" s="48"/>
      <c r="GC83" s="48"/>
      <c r="GD83" s="48"/>
      <c r="GE83" s="48"/>
      <c r="GF83" s="48"/>
      <c r="GG83" s="48"/>
      <c r="GH83" s="48"/>
      <c r="GI83" s="48"/>
      <c r="GJ83" s="8"/>
      <c r="GK83" s="9">
        <f t="shared" si="62"/>
        <v>0</v>
      </c>
      <c r="GL83" s="9">
        <f t="shared" si="63"/>
        <v>0</v>
      </c>
      <c r="GM83" s="9">
        <f t="shared" si="64"/>
        <v>0</v>
      </c>
      <c r="GN83" s="9">
        <f t="shared" si="65"/>
        <v>0</v>
      </c>
      <c r="GO83" s="9">
        <f t="shared" si="66"/>
        <v>0</v>
      </c>
      <c r="GP83" s="9">
        <f t="shared" si="67"/>
        <v>0</v>
      </c>
      <c r="GQ83" s="9">
        <f t="shared" si="68"/>
        <v>0</v>
      </c>
      <c r="GR83" s="9">
        <f t="shared" si="69"/>
        <v>0</v>
      </c>
      <c r="GS83" s="9">
        <f t="shared" si="70"/>
        <v>0</v>
      </c>
      <c r="GT83" s="9">
        <f t="shared" si="71"/>
        <v>0</v>
      </c>
      <c r="GU83" s="9">
        <f t="shared" si="72"/>
        <v>0</v>
      </c>
      <c r="GV83" s="9">
        <f t="shared" si="73"/>
        <v>0</v>
      </c>
      <c r="GW83" s="9">
        <f t="shared" si="74"/>
        <v>0</v>
      </c>
      <c r="GX83" s="77">
        <f t="shared" si="75"/>
        <v>0</v>
      </c>
      <c r="GY83" s="77">
        <f t="shared" si="76"/>
        <v>0</v>
      </c>
      <c r="GZ83" s="77">
        <f t="shared" si="77"/>
        <v>0</v>
      </c>
    </row>
    <row r="84" spans="1:208">
      <c r="A84" s="48"/>
      <c r="B84" s="49"/>
      <c r="C84" s="50"/>
      <c r="D84" s="51"/>
      <c r="E84" s="50"/>
      <c r="F84" s="52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90"/>
      <c r="V84" s="91"/>
      <c r="W84" s="92"/>
      <c r="X84" s="92"/>
      <c r="Y84" s="92"/>
      <c r="Z84" s="91"/>
      <c r="AA84" s="93"/>
      <c r="AB84" s="99"/>
      <c r="AC84" s="54"/>
      <c r="AD84" s="54"/>
      <c r="AE84" s="54"/>
      <c r="AF84" s="54"/>
      <c r="AG84" s="54"/>
      <c r="AH84" s="54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113"/>
      <c r="BB84" s="110"/>
      <c r="BC84" s="110"/>
      <c r="BD84" s="110"/>
      <c r="BE84" s="110"/>
      <c r="BF84" s="110"/>
      <c r="BG84" s="110"/>
      <c r="BH84" s="110"/>
      <c r="BI84" s="113"/>
      <c r="BJ84" s="110"/>
      <c r="BK84" s="110"/>
      <c r="BL84" s="110"/>
      <c r="BM84" s="110"/>
      <c r="BN84" s="113"/>
      <c r="BO84" s="110"/>
      <c r="BP84" s="110"/>
      <c r="BQ84" s="110"/>
      <c r="BR84" s="110"/>
      <c r="BS84" s="110"/>
      <c r="BT84" s="110"/>
      <c r="BU84" s="110"/>
      <c r="BV84" s="110"/>
      <c r="BW84" s="110"/>
      <c r="BX84" s="113"/>
      <c r="BY84" s="110"/>
      <c r="BZ84" s="110"/>
      <c r="CA84" s="110"/>
      <c r="CB84" s="110"/>
      <c r="CC84" s="110"/>
      <c r="CD84" s="110"/>
      <c r="CE84" s="110"/>
      <c r="CF84" s="110"/>
      <c r="CG84" s="113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66"/>
      <c r="DA84" s="70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56"/>
      <c r="DR84" s="57"/>
      <c r="DS84" s="58"/>
      <c r="DT84" s="58"/>
      <c r="DU84" s="58"/>
      <c r="DV84" s="58"/>
      <c r="DW84" s="58"/>
      <c r="DX84" s="58"/>
      <c r="DY84" s="58"/>
      <c r="DZ84" s="59"/>
      <c r="EA84" s="60"/>
      <c r="EB84" s="61"/>
      <c r="EC84" s="62"/>
      <c r="ED84" s="2"/>
      <c r="EE84" s="63"/>
      <c r="EF84" s="63"/>
      <c r="EG84" s="63"/>
      <c r="EH84" s="63"/>
      <c r="EI84" s="63"/>
      <c r="EJ84" s="63"/>
      <c r="EK84" s="63"/>
      <c r="EL84" s="63"/>
      <c r="EM84" s="63"/>
      <c r="EN84" s="63"/>
      <c r="EO84" s="63"/>
      <c r="EP84" s="63"/>
      <c r="EQ84" s="63"/>
      <c r="ER84" s="63"/>
      <c r="ES84" s="63"/>
      <c r="ET84" s="63"/>
      <c r="EU84" s="80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5">
        <f t="shared" si="60"/>
        <v>0</v>
      </c>
      <c r="FH84" s="84">
        <f t="shared" si="61"/>
        <v>-25</v>
      </c>
      <c r="FI84" s="64"/>
      <c r="FJ84" s="8"/>
      <c r="FK84" s="48"/>
      <c r="FL84" s="48"/>
      <c r="FM84" s="48"/>
      <c r="FN84" s="48"/>
      <c r="FO84" s="48"/>
      <c r="FP84" s="48"/>
      <c r="FQ84" s="48"/>
      <c r="FR84" s="48"/>
      <c r="FS84" s="48"/>
      <c r="FT84" s="48"/>
      <c r="FU84" s="48"/>
      <c r="FV84" s="48"/>
      <c r="FW84" s="48"/>
      <c r="FX84" s="48"/>
      <c r="FY84" s="48"/>
      <c r="FZ84" s="48"/>
      <c r="GA84" s="48"/>
      <c r="GB84" s="48"/>
      <c r="GC84" s="48"/>
      <c r="GD84" s="48"/>
      <c r="GE84" s="48"/>
      <c r="GF84" s="48"/>
      <c r="GG84" s="48"/>
      <c r="GH84" s="48"/>
      <c r="GI84" s="48"/>
      <c r="GJ84" s="8"/>
      <c r="GK84" s="9">
        <f t="shared" si="62"/>
        <v>0</v>
      </c>
      <c r="GL84" s="9">
        <f t="shared" si="63"/>
        <v>0</v>
      </c>
      <c r="GM84" s="9">
        <f t="shared" si="64"/>
        <v>0</v>
      </c>
      <c r="GN84" s="9">
        <f t="shared" si="65"/>
        <v>0</v>
      </c>
      <c r="GO84" s="9">
        <f t="shared" si="66"/>
        <v>0</v>
      </c>
      <c r="GP84" s="9">
        <f t="shared" si="67"/>
        <v>0</v>
      </c>
      <c r="GQ84" s="9">
        <f t="shared" si="68"/>
        <v>0</v>
      </c>
      <c r="GR84" s="9">
        <f t="shared" si="69"/>
        <v>0</v>
      </c>
      <c r="GS84" s="9">
        <f t="shared" si="70"/>
        <v>0</v>
      </c>
      <c r="GT84" s="9">
        <f t="shared" si="71"/>
        <v>0</v>
      </c>
      <c r="GU84" s="9">
        <f t="shared" si="72"/>
        <v>0</v>
      </c>
      <c r="GV84" s="9">
        <f t="shared" si="73"/>
        <v>0</v>
      </c>
      <c r="GW84" s="9">
        <f t="shared" si="74"/>
        <v>0</v>
      </c>
      <c r="GX84" s="77">
        <f t="shared" si="75"/>
        <v>0</v>
      </c>
      <c r="GY84" s="77">
        <f t="shared" si="76"/>
        <v>0</v>
      </c>
      <c r="GZ84" s="77">
        <f t="shared" si="77"/>
        <v>0</v>
      </c>
    </row>
    <row r="85" spans="1:208">
      <c r="A85" s="48"/>
      <c r="B85" s="49"/>
      <c r="C85" s="50"/>
      <c r="D85" s="51"/>
      <c r="E85" s="50"/>
      <c r="F85" s="52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90"/>
      <c r="V85" s="91"/>
      <c r="W85" s="92"/>
      <c r="X85" s="92"/>
      <c r="Y85" s="92"/>
      <c r="Z85" s="91"/>
      <c r="AA85" s="93"/>
      <c r="AB85" s="99"/>
      <c r="AC85" s="54"/>
      <c r="AD85" s="54"/>
      <c r="AE85" s="54"/>
      <c r="AF85" s="54"/>
      <c r="AG85" s="54"/>
      <c r="AH85" s="54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113"/>
      <c r="BB85" s="110"/>
      <c r="BC85" s="110"/>
      <c r="BD85" s="110"/>
      <c r="BE85" s="110"/>
      <c r="BF85" s="110"/>
      <c r="BG85" s="110"/>
      <c r="BH85" s="110"/>
      <c r="BI85" s="113"/>
      <c r="BJ85" s="110"/>
      <c r="BK85" s="110"/>
      <c r="BL85" s="110"/>
      <c r="BM85" s="110"/>
      <c r="BN85" s="113"/>
      <c r="BO85" s="110"/>
      <c r="BP85" s="110"/>
      <c r="BQ85" s="110"/>
      <c r="BR85" s="110"/>
      <c r="BS85" s="110"/>
      <c r="BT85" s="110"/>
      <c r="BU85" s="110"/>
      <c r="BV85" s="110"/>
      <c r="BW85" s="110"/>
      <c r="BX85" s="113"/>
      <c r="BY85" s="110"/>
      <c r="BZ85" s="110"/>
      <c r="CA85" s="110"/>
      <c r="CB85" s="110"/>
      <c r="CC85" s="110"/>
      <c r="CD85" s="110"/>
      <c r="CE85" s="110"/>
      <c r="CF85" s="110"/>
      <c r="CG85" s="113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66"/>
      <c r="DA85" s="70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56"/>
      <c r="DR85" s="57"/>
      <c r="DS85" s="58"/>
      <c r="DT85" s="58"/>
      <c r="DU85" s="58"/>
      <c r="DV85" s="58"/>
      <c r="DW85" s="58"/>
      <c r="DX85" s="58"/>
      <c r="DY85" s="58"/>
      <c r="DZ85" s="59"/>
      <c r="EA85" s="60"/>
      <c r="EB85" s="61"/>
      <c r="EC85" s="62"/>
      <c r="ED85" s="2"/>
      <c r="EE85" s="63"/>
      <c r="EF85" s="63"/>
      <c r="EG85" s="63"/>
      <c r="EH85" s="63"/>
      <c r="EI85" s="63"/>
      <c r="EJ85" s="63"/>
      <c r="EK85" s="63"/>
      <c r="EL85" s="63"/>
      <c r="EM85" s="63"/>
      <c r="EN85" s="63"/>
      <c r="EO85" s="63"/>
      <c r="EP85" s="63"/>
      <c r="EQ85" s="63"/>
      <c r="ER85" s="63"/>
      <c r="ES85" s="63"/>
      <c r="ET85" s="63"/>
      <c r="EU85" s="80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5">
        <f t="shared" si="60"/>
        <v>0</v>
      </c>
      <c r="FH85" s="84">
        <f t="shared" si="61"/>
        <v>-25</v>
      </c>
      <c r="FI85" s="64"/>
      <c r="FJ85" s="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8"/>
      <c r="GG85" s="48"/>
      <c r="GH85" s="48"/>
      <c r="GI85" s="48"/>
      <c r="GJ85" s="8"/>
      <c r="GK85" s="9">
        <f t="shared" si="62"/>
        <v>0</v>
      </c>
      <c r="GL85" s="9">
        <f t="shared" si="63"/>
        <v>0</v>
      </c>
      <c r="GM85" s="9">
        <f t="shared" si="64"/>
        <v>0</v>
      </c>
      <c r="GN85" s="9">
        <f t="shared" si="65"/>
        <v>0</v>
      </c>
      <c r="GO85" s="9">
        <f t="shared" si="66"/>
        <v>0</v>
      </c>
      <c r="GP85" s="9">
        <f t="shared" si="67"/>
        <v>0</v>
      </c>
      <c r="GQ85" s="9">
        <f t="shared" si="68"/>
        <v>0</v>
      </c>
      <c r="GR85" s="9">
        <f t="shared" si="69"/>
        <v>0</v>
      </c>
      <c r="GS85" s="9">
        <f t="shared" si="70"/>
        <v>0</v>
      </c>
      <c r="GT85" s="9">
        <f t="shared" si="71"/>
        <v>0</v>
      </c>
      <c r="GU85" s="9">
        <f t="shared" si="72"/>
        <v>0</v>
      </c>
      <c r="GV85" s="9">
        <f t="shared" si="73"/>
        <v>0</v>
      </c>
      <c r="GW85" s="9">
        <f t="shared" si="74"/>
        <v>0</v>
      </c>
      <c r="GX85" s="77">
        <f t="shared" si="75"/>
        <v>0</v>
      </c>
      <c r="GY85" s="77">
        <f t="shared" si="76"/>
        <v>0</v>
      </c>
      <c r="GZ85" s="77">
        <f t="shared" si="77"/>
        <v>0</v>
      </c>
    </row>
    <row r="86" spans="1:208">
      <c r="A86" s="48"/>
      <c r="B86" s="49"/>
      <c r="C86" s="50"/>
      <c r="D86" s="51"/>
      <c r="E86" s="50"/>
      <c r="F86" s="52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90"/>
      <c r="V86" s="91"/>
      <c r="W86" s="92"/>
      <c r="X86" s="92"/>
      <c r="Y86" s="92"/>
      <c r="Z86" s="91"/>
      <c r="AA86" s="93"/>
      <c r="AB86" s="99"/>
      <c r="AC86" s="54"/>
      <c r="AD86" s="54"/>
      <c r="AE86" s="54"/>
      <c r="AF86" s="54"/>
      <c r="AG86" s="54"/>
      <c r="AH86" s="54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113"/>
      <c r="BB86" s="110"/>
      <c r="BC86" s="110"/>
      <c r="BD86" s="110"/>
      <c r="BE86" s="110"/>
      <c r="BF86" s="110"/>
      <c r="BG86" s="110"/>
      <c r="BH86" s="110"/>
      <c r="BI86" s="113"/>
      <c r="BJ86" s="110"/>
      <c r="BK86" s="110"/>
      <c r="BL86" s="110"/>
      <c r="BM86" s="110"/>
      <c r="BN86" s="113"/>
      <c r="BO86" s="110"/>
      <c r="BP86" s="110"/>
      <c r="BQ86" s="110"/>
      <c r="BR86" s="110"/>
      <c r="BS86" s="110"/>
      <c r="BT86" s="110"/>
      <c r="BU86" s="110"/>
      <c r="BV86" s="110"/>
      <c r="BW86" s="110"/>
      <c r="BX86" s="113"/>
      <c r="BY86" s="110"/>
      <c r="BZ86" s="110"/>
      <c r="CA86" s="110"/>
      <c r="CB86" s="110"/>
      <c r="CC86" s="110"/>
      <c r="CD86" s="110"/>
      <c r="CE86" s="110"/>
      <c r="CF86" s="110"/>
      <c r="CG86" s="113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66"/>
      <c r="DA86" s="70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56"/>
      <c r="DR86" s="57"/>
      <c r="DS86" s="58"/>
      <c r="DT86" s="58"/>
      <c r="DU86" s="58"/>
      <c r="DV86" s="58"/>
      <c r="DW86" s="58"/>
      <c r="DX86" s="58"/>
      <c r="DY86" s="58"/>
      <c r="DZ86" s="59"/>
      <c r="EA86" s="60"/>
      <c r="EB86" s="61"/>
      <c r="EC86" s="62"/>
      <c r="ED86" s="2"/>
      <c r="EE86" s="6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80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5">
        <f t="shared" si="60"/>
        <v>0</v>
      </c>
      <c r="FH86" s="84">
        <f t="shared" si="61"/>
        <v>-25</v>
      </c>
      <c r="FI86" s="64"/>
      <c r="FJ86" s="8"/>
      <c r="FK86" s="48"/>
      <c r="FL86" s="48"/>
      <c r="FM86" s="48"/>
      <c r="FN86" s="48"/>
      <c r="FO86" s="48"/>
      <c r="FP86" s="48"/>
      <c r="FQ86" s="48"/>
      <c r="FR86" s="48"/>
      <c r="FS86" s="48"/>
      <c r="FT86" s="48"/>
      <c r="FU86" s="48"/>
      <c r="FV86" s="48"/>
      <c r="FW86" s="48"/>
      <c r="FX86" s="48"/>
      <c r="FY86" s="48"/>
      <c r="FZ86" s="48"/>
      <c r="GA86" s="48"/>
      <c r="GB86" s="48"/>
      <c r="GC86" s="48"/>
      <c r="GD86" s="48"/>
      <c r="GE86" s="48"/>
      <c r="GF86" s="48"/>
      <c r="GG86" s="48"/>
      <c r="GH86" s="48"/>
      <c r="GI86" s="48"/>
      <c r="GJ86" s="8"/>
      <c r="GK86" s="9">
        <f t="shared" si="62"/>
        <v>0</v>
      </c>
      <c r="GL86" s="9">
        <f t="shared" si="63"/>
        <v>0</v>
      </c>
      <c r="GM86" s="9">
        <f t="shared" si="64"/>
        <v>0</v>
      </c>
      <c r="GN86" s="9">
        <f t="shared" si="65"/>
        <v>0</v>
      </c>
      <c r="GO86" s="9">
        <f t="shared" si="66"/>
        <v>0</v>
      </c>
      <c r="GP86" s="9">
        <f t="shared" si="67"/>
        <v>0</v>
      </c>
      <c r="GQ86" s="9">
        <f t="shared" si="68"/>
        <v>0</v>
      </c>
      <c r="GR86" s="9">
        <f t="shared" si="69"/>
        <v>0</v>
      </c>
      <c r="GS86" s="9">
        <f t="shared" si="70"/>
        <v>0</v>
      </c>
      <c r="GT86" s="9">
        <f t="shared" si="71"/>
        <v>0</v>
      </c>
      <c r="GU86" s="9">
        <f t="shared" si="72"/>
        <v>0</v>
      </c>
      <c r="GV86" s="9">
        <f t="shared" si="73"/>
        <v>0</v>
      </c>
      <c r="GW86" s="9">
        <f t="shared" si="74"/>
        <v>0</v>
      </c>
      <c r="GX86" s="77">
        <f t="shared" si="75"/>
        <v>0</v>
      </c>
      <c r="GY86" s="77">
        <f t="shared" si="76"/>
        <v>0</v>
      </c>
      <c r="GZ86" s="77">
        <f t="shared" si="77"/>
        <v>0</v>
      </c>
    </row>
    <row r="87" spans="1:208">
      <c r="A87" s="48"/>
      <c r="B87" s="49"/>
      <c r="C87" s="50"/>
      <c r="D87" s="51"/>
      <c r="E87" s="50"/>
      <c r="F87" s="52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90"/>
      <c r="V87" s="91"/>
      <c r="W87" s="92"/>
      <c r="X87" s="92"/>
      <c r="Y87" s="92"/>
      <c r="Z87" s="91"/>
      <c r="AA87" s="93"/>
      <c r="AB87" s="99"/>
      <c r="AC87" s="54"/>
      <c r="AD87" s="54"/>
      <c r="AE87" s="54"/>
      <c r="AF87" s="54"/>
      <c r="AG87" s="54"/>
      <c r="AH87" s="54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113"/>
      <c r="BB87" s="110"/>
      <c r="BC87" s="110"/>
      <c r="BD87" s="110"/>
      <c r="BE87" s="110"/>
      <c r="BF87" s="110"/>
      <c r="BG87" s="110"/>
      <c r="BH87" s="110"/>
      <c r="BI87" s="113"/>
      <c r="BJ87" s="110"/>
      <c r="BK87" s="110"/>
      <c r="BL87" s="110"/>
      <c r="BM87" s="110"/>
      <c r="BN87" s="113"/>
      <c r="BO87" s="110"/>
      <c r="BP87" s="110"/>
      <c r="BQ87" s="110"/>
      <c r="BR87" s="110"/>
      <c r="BS87" s="110"/>
      <c r="BT87" s="110"/>
      <c r="BU87" s="110"/>
      <c r="BV87" s="110"/>
      <c r="BW87" s="110"/>
      <c r="BX87" s="113"/>
      <c r="BY87" s="110"/>
      <c r="BZ87" s="110"/>
      <c r="CA87" s="110"/>
      <c r="CB87" s="110"/>
      <c r="CC87" s="110"/>
      <c r="CD87" s="110"/>
      <c r="CE87" s="110"/>
      <c r="CF87" s="110"/>
      <c r="CG87" s="113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66"/>
      <c r="DA87" s="70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56"/>
      <c r="DR87" s="57"/>
      <c r="DS87" s="58"/>
      <c r="DT87" s="58"/>
      <c r="DU87" s="58"/>
      <c r="DV87" s="58"/>
      <c r="DW87" s="58"/>
      <c r="DX87" s="58"/>
      <c r="DY87" s="58"/>
      <c r="DZ87" s="59"/>
      <c r="EA87" s="60"/>
      <c r="EB87" s="61"/>
      <c r="EC87" s="62"/>
      <c r="ED87" s="2"/>
      <c r="EE87" s="63"/>
      <c r="EF87" s="63"/>
      <c r="EG87" s="63"/>
      <c r="EH87" s="63"/>
      <c r="EI87" s="63"/>
      <c r="EJ87" s="63"/>
      <c r="EK87" s="63"/>
      <c r="EL87" s="63"/>
      <c r="EM87" s="63"/>
      <c r="EN87" s="63"/>
      <c r="EO87" s="63"/>
      <c r="EP87" s="63"/>
      <c r="EQ87" s="63"/>
      <c r="ER87" s="63"/>
      <c r="ES87" s="63"/>
      <c r="ET87" s="63"/>
      <c r="EU87" s="80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5">
        <f t="shared" si="60"/>
        <v>0</v>
      </c>
      <c r="FH87" s="84">
        <f t="shared" si="61"/>
        <v>-25</v>
      </c>
      <c r="FI87" s="64"/>
      <c r="FJ87" s="8"/>
      <c r="FK87" s="48"/>
      <c r="FL87" s="48"/>
      <c r="FM87" s="48"/>
      <c r="FN87" s="48"/>
      <c r="FO87" s="48"/>
      <c r="FP87" s="48"/>
      <c r="FQ87" s="48"/>
      <c r="FR87" s="48"/>
      <c r="FS87" s="48"/>
      <c r="FT87" s="48"/>
      <c r="FU87" s="48"/>
      <c r="FV87" s="48"/>
      <c r="FW87" s="48"/>
      <c r="FX87" s="48"/>
      <c r="FY87" s="48"/>
      <c r="FZ87" s="48"/>
      <c r="GA87" s="48"/>
      <c r="GB87" s="48"/>
      <c r="GC87" s="48"/>
      <c r="GD87" s="48"/>
      <c r="GE87" s="48"/>
      <c r="GF87" s="48"/>
      <c r="GG87" s="48"/>
      <c r="GH87" s="48"/>
      <c r="GI87" s="48"/>
      <c r="GJ87" s="8"/>
      <c r="GK87" s="9">
        <f t="shared" si="62"/>
        <v>0</v>
      </c>
      <c r="GL87" s="9">
        <f t="shared" si="63"/>
        <v>0</v>
      </c>
      <c r="GM87" s="9">
        <f t="shared" si="64"/>
        <v>0</v>
      </c>
      <c r="GN87" s="9">
        <f t="shared" si="65"/>
        <v>0</v>
      </c>
      <c r="GO87" s="9">
        <f t="shared" si="66"/>
        <v>0</v>
      </c>
      <c r="GP87" s="9">
        <f t="shared" si="67"/>
        <v>0</v>
      </c>
      <c r="GQ87" s="9">
        <f t="shared" si="68"/>
        <v>0</v>
      </c>
      <c r="GR87" s="9">
        <f t="shared" si="69"/>
        <v>0</v>
      </c>
      <c r="GS87" s="9">
        <f t="shared" si="70"/>
        <v>0</v>
      </c>
      <c r="GT87" s="9">
        <f t="shared" si="71"/>
        <v>0</v>
      </c>
      <c r="GU87" s="9">
        <f t="shared" si="72"/>
        <v>0</v>
      </c>
      <c r="GV87" s="9">
        <f t="shared" si="73"/>
        <v>0</v>
      </c>
      <c r="GW87" s="9">
        <f t="shared" si="74"/>
        <v>0</v>
      </c>
      <c r="GX87" s="77">
        <f t="shared" si="75"/>
        <v>0</v>
      </c>
      <c r="GY87" s="77">
        <f t="shared" si="76"/>
        <v>0</v>
      </c>
      <c r="GZ87" s="77">
        <f t="shared" si="77"/>
        <v>0</v>
      </c>
    </row>
    <row r="88" spans="1:208">
      <c r="A88" s="48"/>
      <c r="B88" s="49"/>
      <c r="C88" s="50"/>
      <c r="D88" s="51"/>
      <c r="E88" s="50"/>
      <c r="F88" s="52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90"/>
      <c r="V88" s="91"/>
      <c r="W88" s="92"/>
      <c r="X88" s="92"/>
      <c r="Y88" s="92"/>
      <c r="Z88" s="91"/>
      <c r="AA88" s="93"/>
      <c r="AB88" s="99"/>
      <c r="AC88" s="54"/>
      <c r="AD88" s="54"/>
      <c r="AE88" s="54"/>
      <c r="AF88" s="54"/>
      <c r="AG88" s="54"/>
      <c r="AH88" s="54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113"/>
      <c r="BB88" s="110"/>
      <c r="BC88" s="110"/>
      <c r="BD88" s="110"/>
      <c r="BE88" s="110"/>
      <c r="BF88" s="110"/>
      <c r="BG88" s="110"/>
      <c r="BH88" s="110"/>
      <c r="BI88" s="113"/>
      <c r="BJ88" s="110"/>
      <c r="BK88" s="110"/>
      <c r="BL88" s="110"/>
      <c r="BM88" s="110"/>
      <c r="BN88" s="113"/>
      <c r="BO88" s="110"/>
      <c r="BP88" s="110"/>
      <c r="BQ88" s="110"/>
      <c r="BR88" s="110"/>
      <c r="BS88" s="110"/>
      <c r="BT88" s="110"/>
      <c r="BU88" s="110"/>
      <c r="BV88" s="110"/>
      <c r="BW88" s="110"/>
      <c r="BX88" s="113"/>
      <c r="BY88" s="110"/>
      <c r="BZ88" s="110"/>
      <c r="CA88" s="110"/>
      <c r="CB88" s="110"/>
      <c r="CC88" s="110"/>
      <c r="CD88" s="110"/>
      <c r="CE88" s="110"/>
      <c r="CF88" s="110"/>
      <c r="CG88" s="113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66"/>
      <c r="DA88" s="70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56"/>
      <c r="DR88" s="57"/>
      <c r="DS88" s="58"/>
      <c r="DT88" s="58"/>
      <c r="DU88" s="58"/>
      <c r="DV88" s="58"/>
      <c r="DW88" s="58"/>
      <c r="DX88" s="58"/>
      <c r="DY88" s="58"/>
      <c r="DZ88" s="59"/>
      <c r="EA88" s="60"/>
      <c r="EB88" s="61"/>
      <c r="EC88" s="62"/>
      <c r="ED88" s="2"/>
      <c r="EE88" s="63"/>
      <c r="EF88" s="63"/>
      <c r="EG88" s="63"/>
      <c r="EH88" s="63"/>
      <c r="EI88" s="63"/>
      <c r="EJ88" s="63"/>
      <c r="EK88" s="63"/>
      <c r="EL88" s="63"/>
      <c r="EM88" s="63"/>
      <c r="EN88" s="63"/>
      <c r="EO88" s="63"/>
      <c r="EP88" s="63"/>
      <c r="EQ88" s="63"/>
      <c r="ER88" s="63"/>
      <c r="ES88" s="63"/>
      <c r="ET88" s="63"/>
      <c r="EU88" s="80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5">
        <f t="shared" si="60"/>
        <v>0</v>
      </c>
      <c r="FH88" s="84">
        <f t="shared" si="61"/>
        <v>-25</v>
      </c>
      <c r="FI88" s="64"/>
      <c r="FJ88" s="8"/>
      <c r="FK88" s="48"/>
      <c r="FL88" s="48"/>
      <c r="FM88" s="48"/>
      <c r="FN88" s="48"/>
      <c r="FO88" s="48"/>
      <c r="FP88" s="48"/>
      <c r="FQ88" s="48"/>
      <c r="FR88" s="48"/>
      <c r="FS88" s="48"/>
      <c r="FT88" s="48"/>
      <c r="FU88" s="48"/>
      <c r="FV88" s="48"/>
      <c r="FW88" s="48"/>
      <c r="FX88" s="48"/>
      <c r="FY88" s="48"/>
      <c r="FZ88" s="48"/>
      <c r="GA88" s="48"/>
      <c r="GB88" s="48"/>
      <c r="GC88" s="48"/>
      <c r="GD88" s="48"/>
      <c r="GE88" s="48"/>
      <c r="GF88" s="48"/>
      <c r="GG88" s="48"/>
      <c r="GH88" s="48"/>
      <c r="GI88" s="48"/>
      <c r="GJ88" s="8"/>
      <c r="GK88" s="9">
        <f t="shared" si="62"/>
        <v>0</v>
      </c>
      <c r="GL88" s="9">
        <f t="shared" si="63"/>
        <v>0</v>
      </c>
      <c r="GM88" s="9">
        <f t="shared" si="64"/>
        <v>0</v>
      </c>
      <c r="GN88" s="9">
        <f t="shared" si="65"/>
        <v>0</v>
      </c>
      <c r="GO88" s="9">
        <f t="shared" si="66"/>
        <v>0</v>
      </c>
      <c r="GP88" s="9">
        <f t="shared" si="67"/>
        <v>0</v>
      </c>
      <c r="GQ88" s="9">
        <f t="shared" si="68"/>
        <v>0</v>
      </c>
      <c r="GR88" s="9">
        <f t="shared" si="69"/>
        <v>0</v>
      </c>
      <c r="GS88" s="9">
        <f t="shared" si="70"/>
        <v>0</v>
      </c>
      <c r="GT88" s="9">
        <f t="shared" si="71"/>
        <v>0</v>
      </c>
      <c r="GU88" s="9">
        <f t="shared" si="72"/>
        <v>0</v>
      </c>
      <c r="GV88" s="9">
        <f t="shared" si="73"/>
        <v>0</v>
      </c>
      <c r="GW88" s="9">
        <f t="shared" si="74"/>
        <v>0</v>
      </c>
      <c r="GX88" s="77">
        <f t="shared" si="75"/>
        <v>0</v>
      </c>
      <c r="GY88" s="77">
        <f t="shared" si="76"/>
        <v>0</v>
      </c>
      <c r="GZ88" s="77">
        <f t="shared" si="77"/>
        <v>0</v>
      </c>
    </row>
    <row r="89" spans="1:208">
      <c r="A89" s="48"/>
      <c r="B89" s="49"/>
      <c r="C89" s="50"/>
      <c r="D89" s="51"/>
      <c r="E89" s="50"/>
      <c r="F89" s="52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90"/>
      <c r="V89" s="91"/>
      <c r="W89" s="92"/>
      <c r="X89" s="92"/>
      <c r="Y89" s="92"/>
      <c r="Z89" s="91"/>
      <c r="AA89" s="93"/>
      <c r="AB89" s="99"/>
      <c r="AC89" s="54"/>
      <c r="AD89" s="54"/>
      <c r="AE89" s="54"/>
      <c r="AF89" s="54"/>
      <c r="AG89" s="54"/>
      <c r="AH89" s="54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113"/>
      <c r="BB89" s="110"/>
      <c r="BC89" s="110"/>
      <c r="BD89" s="110"/>
      <c r="BE89" s="110"/>
      <c r="BF89" s="110"/>
      <c r="BG89" s="110"/>
      <c r="BH89" s="110"/>
      <c r="BI89" s="113"/>
      <c r="BJ89" s="110"/>
      <c r="BK89" s="110"/>
      <c r="BL89" s="110"/>
      <c r="BM89" s="110"/>
      <c r="BN89" s="113"/>
      <c r="BO89" s="110"/>
      <c r="BP89" s="110"/>
      <c r="BQ89" s="110"/>
      <c r="BR89" s="110"/>
      <c r="BS89" s="110"/>
      <c r="BT89" s="110"/>
      <c r="BU89" s="110"/>
      <c r="BV89" s="110"/>
      <c r="BW89" s="110"/>
      <c r="BX89" s="113"/>
      <c r="BY89" s="110"/>
      <c r="BZ89" s="110"/>
      <c r="CA89" s="110"/>
      <c r="CB89" s="110"/>
      <c r="CC89" s="110"/>
      <c r="CD89" s="110"/>
      <c r="CE89" s="110"/>
      <c r="CF89" s="110"/>
      <c r="CG89" s="113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66"/>
      <c r="DA89" s="70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56"/>
      <c r="DR89" s="57"/>
      <c r="DS89" s="58"/>
      <c r="DT89" s="58"/>
      <c r="DU89" s="58"/>
      <c r="DV89" s="58"/>
      <c r="DW89" s="58"/>
      <c r="DX89" s="58"/>
      <c r="DY89" s="58"/>
      <c r="DZ89" s="59"/>
      <c r="EA89" s="60"/>
      <c r="EB89" s="61"/>
      <c r="EC89" s="62"/>
      <c r="ED89" s="2"/>
      <c r="EE89" s="63"/>
      <c r="EF89" s="63"/>
      <c r="EG89" s="63"/>
      <c r="EH89" s="63"/>
      <c r="EI89" s="63"/>
      <c r="EJ89" s="63"/>
      <c r="EK89" s="63"/>
      <c r="EL89" s="63"/>
      <c r="EM89" s="63"/>
      <c r="EN89" s="63"/>
      <c r="EO89" s="63"/>
      <c r="EP89" s="63"/>
      <c r="EQ89" s="63"/>
      <c r="ER89" s="63"/>
      <c r="ES89" s="63"/>
      <c r="ET89" s="63"/>
      <c r="EU89" s="80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5">
        <f t="shared" si="60"/>
        <v>0</v>
      </c>
      <c r="FH89" s="84">
        <f t="shared" si="61"/>
        <v>-25</v>
      </c>
      <c r="FI89" s="64"/>
      <c r="FJ89" s="8"/>
      <c r="FK89" s="48"/>
      <c r="FL89" s="48"/>
      <c r="FM89" s="48"/>
      <c r="FN89" s="48"/>
      <c r="FO89" s="48"/>
      <c r="FP89" s="48"/>
      <c r="FQ89" s="48"/>
      <c r="FR89" s="48"/>
      <c r="FS89" s="48"/>
      <c r="FT89" s="48"/>
      <c r="FU89" s="48"/>
      <c r="FV89" s="48"/>
      <c r="FW89" s="48"/>
      <c r="FX89" s="48"/>
      <c r="FY89" s="48"/>
      <c r="FZ89" s="48"/>
      <c r="GA89" s="48"/>
      <c r="GB89" s="48"/>
      <c r="GC89" s="48"/>
      <c r="GD89" s="48"/>
      <c r="GE89" s="48"/>
      <c r="GF89" s="48"/>
      <c r="GG89" s="48"/>
      <c r="GH89" s="48"/>
      <c r="GI89" s="48"/>
      <c r="GJ89" s="8"/>
      <c r="GK89" s="9">
        <f t="shared" si="62"/>
        <v>0</v>
      </c>
      <c r="GL89" s="9">
        <f t="shared" si="63"/>
        <v>0</v>
      </c>
      <c r="GM89" s="9">
        <f t="shared" si="64"/>
        <v>0</v>
      </c>
      <c r="GN89" s="9">
        <f t="shared" si="65"/>
        <v>0</v>
      </c>
      <c r="GO89" s="9">
        <f t="shared" si="66"/>
        <v>0</v>
      </c>
      <c r="GP89" s="9">
        <f t="shared" si="67"/>
        <v>0</v>
      </c>
      <c r="GQ89" s="9">
        <f t="shared" si="68"/>
        <v>0</v>
      </c>
      <c r="GR89" s="9">
        <f t="shared" si="69"/>
        <v>0</v>
      </c>
      <c r="GS89" s="9">
        <f t="shared" si="70"/>
        <v>0</v>
      </c>
      <c r="GT89" s="9">
        <f t="shared" si="71"/>
        <v>0</v>
      </c>
      <c r="GU89" s="9">
        <f t="shared" si="72"/>
        <v>0</v>
      </c>
      <c r="GV89" s="9">
        <f t="shared" si="73"/>
        <v>0</v>
      </c>
      <c r="GW89" s="9">
        <f t="shared" si="74"/>
        <v>0</v>
      </c>
      <c r="GX89" s="77">
        <f t="shared" si="75"/>
        <v>0</v>
      </c>
      <c r="GY89" s="77">
        <f t="shared" si="76"/>
        <v>0</v>
      </c>
      <c r="GZ89" s="77">
        <f t="shared" si="77"/>
        <v>0</v>
      </c>
    </row>
    <row r="90" spans="1:208">
      <c r="A90" s="48"/>
      <c r="B90" s="49"/>
      <c r="C90" s="50"/>
      <c r="D90" s="51"/>
      <c r="E90" s="50"/>
      <c r="F90" s="52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90"/>
      <c r="V90" s="91"/>
      <c r="W90" s="92"/>
      <c r="X90" s="92"/>
      <c r="Y90" s="92"/>
      <c r="Z90" s="91"/>
      <c r="AA90" s="93"/>
      <c r="AB90" s="99"/>
      <c r="AC90" s="54"/>
      <c r="AD90" s="54"/>
      <c r="AE90" s="54"/>
      <c r="AF90" s="54"/>
      <c r="AG90" s="54"/>
      <c r="AH90" s="54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113"/>
      <c r="BB90" s="110"/>
      <c r="BC90" s="110"/>
      <c r="BD90" s="110"/>
      <c r="BE90" s="110"/>
      <c r="BF90" s="110"/>
      <c r="BG90" s="110"/>
      <c r="BH90" s="110"/>
      <c r="BI90" s="113"/>
      <c r="BJ90" s="110"/>
      <c r="BK90" s="110"/>
      <c r="BL90" s="110"/>
      <c r="BM90" s="110"/>
      <c r="BN90" s="113"/>
      <c r="BO90" s="110"/>
      <c r="BP90" s="110"/>
      <c r="BQ90" s="110"/>
      <c r="BR90" s="110"/>
      <c r="BS90" s="110"/>
      <c r="BT90" s="110"/>
      <c r="BU90" s="110"/>
      <c r="BV90" s="110"/>
      <c r="BW90" s="110"/>
      <c r="BX90" s="113"/>
      <c r="BY90" s="110"/>
      <c r="BZ90" s="110"/>
      <c r="CA90" s="110"/>
      <c r="CB90" s="110"/>
      <c r="CC90" s="110"/>
      <c r="CD90" s="110"/>
      <c r="CE90" s="110"/>
      <c r="CF90" s="110"/>
      <c r="CG90" s="113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66"/>
      <c r="DA90" s="70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56"/>
      <c r="DR90" s="57"/>
      <c r="DS90" s="58"/>
      <c r="DT90" s="58"/>
      <c r="DU90" s="58"/>
      <c r="DV90" s="58"/>
      <c r="DW90" s="58"/>
      <c r="DX90" s="58"/>
      <c r="DY90" s="58"/>
      <c r="DZ90" s="59"/>
      <c r="EA90" s="60"/>
      <c r="EB90" s="61"/>
      <c r="EC90" s="62"/>
      <c r="ED90" s="2"/>
      <c r="EE90" s="63"/>
      <c r="EF90" s="63"/>
      <c r="EG90" s="63"/>
      <c r="EH90" s="63"/>
      <c r="EI90" s="63"/>
      <c r="EJ90" s="63"/>
      <c r="EK90" s="63"/>
      <c r="EL90" s="63"/>
      <c r="EM90" s="63"/>
      <c r="EN90" s="63"/>
      <c r="EO90" s="63"/>
      <c r="EP90" s="63"/>
      <c r="EQ90" s="63"/>
      <c r="ER90" s="63"/>
      <c r="ES90" s="63"/>
      <c r="ET90" s="63"/>
      <c r="EU90" s="80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5">
        <f t="shared" si="60"/>
        <v>0</v>
      </c>
      <c r="FH90" s="84">
        <f t="shared" si="61"/>
        <v>-25</v>
      </c>
      <c r="FI90" s="64"/>
      <c r="FJ90" s="8"/>
      <c r="FK90" s="48"/>
      <c r="FL90" s="48"/>
      <c r="FM90" s="48"/>
      <c r="FN90" s="48"/>
      <c r="FO90" s="48"/>
      <c r="FP90" s="48"/>
      <c r="FQ90" s="48"/>
      <c r="FR90" s="48"/>
      <c r="FS90" s="48"/>
      <c r="FT90" s="48"/>
      <c r="FU90" s="48"/>
      <c r="FV90" s="48"/>
      <c r="FW90" s="48"/>
      <c r="FX90" s="48"/>
      <c r="FY90" s="48"/>
      <c r="FZ90" s="48"/>
      <c r="GA90" s="48"/>
      <c r="GB90" s="48"/>
      <c r="GC90" s="48"/>
      <c r="GD90" s="48"/>
      <c r="GE90" s="48"/>
      <c r="GF90" s="48"/>
      <c r="GG90" s="48"/>
      <c r="GH90" s="48"/>
      <c r="GI90" s="48"/>
      <c r="GJ90" s="8"/>
      <c r="GK90" s="9">
        <f t="shared" si="62"/>
        <v>0</v>
      </c>
      <c r="GL90" s="9">
        <f t="shared" si="63"/>
        <v>0</v>
      </c>
      <c r="GM90" s="9">
        <f t="shared" si="64"/>
        <v>0</v>
      </c>
      <c r="GN90" s="9">
        <f t="shared" si="65"/>
        <v>0</v>
      </c>
      <c r="GO90" s="9">
        <f t="shared" si="66"/>
        <v>0</v>
      </c>
      <c r="GP90" s="9">
        <f t="shared" si="67"/>
        <v>0</v>
      </c>
      <c r="GQ90" s="9">
        <f t="shared" si="68"/>
        <v>0</v>
      </c>
      <c r="GR90" s="9">
        <f t="shared" si="69"/>
        <v>0</v>
      </c>
      <c r="GS90" s="9">
        <f t="shared" si="70"/>
        <v>0</v>
      </c>
      <c r="GT90" s="9">
        <f t="shared" si="71"/>
        <v>0</v>
      </c>
      <c r="GU90" s="9">
        <f t="shared" si="72"/>
        <v>0</v>
      </c>
      <c r="GV90" s="9">
        <f t="shared" si="73"/>
        <v>0</v>
      </c>
      <c r="GW90" s="9">
        <f t="shared" si="74"/>
        <v>0</v>
      </c>
      <c r="GX90" s="77">
        <f t="shared" si="75"/>
        <v>0</v>
      </c>
      <c r="GY90" s="77">
        <f t="shared" si="76"/>
        <v>0</v>
      </c>
      <c r="GZ90" s="77">
        <f t="shared" si="77"/>
        <v>0</v>
      </c>
    </row>
    <row r="91" spans="1:208">
      <c r="A91" s="48"/>
      <c r="B91" s="49"/>
      <c r="C91" s="50"/>
      <c r="D91" s="51"/>
      <c r="E91" s="50"/>
      <c r="F91" s="52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90"/>
      <c r="V91" s="91"/>
      <c r="W91" s="92"/>
      <c r="X91" s="92"/>
      <c r="Y91" s="92"/>
      <c r="Z91" s="91"/>
      <c r="AA91" s="93"/>
      <c r="AB91" s="99"/>
      <c r="AC91" s="54"/>
      <c r="AD91" s="54"/>
      <c r="AE91" s="54"/>
      <c r="AF91" s="54"/>
      <c r="AG91" s="54"/>
      <c r="AH91" s="54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113"/>
      <c r="BB91" s="110"/>
      <c r="BC91" s="110"/>
      <c r="BD91" s="110"/>
      <c r="BE91" s="110"/>
      <c r="BF91" s="110"/>
      <c r="BG91" s="110"/>
      <c r="BH91" s="110"/>
      <c r="BI91" s="113"/>
      <c r="BJ91" s="110"/>
      <c r="BK91" s="110"/>
      <c r="BL91" s="110"/>
      <c r="BM91" s="110"/>
      <c r="BN91" s="113"/>
      <c r="BO91" s="110"/>
      <c r="BP91" s="110"/>
      <c r="BQ91" s="110"/>
      <c r="BR91" s="110"/>
      <c r="BS91" s="110"/>
      <c r="BT91" s="110"/>
      <c r="BU91" s="110"/>
      <c r="BV91" s="110"/>
      <c r="BW91" s="110"/>
      <c r="BX91" s="113"/>
      <c r="BY91" s="110"/>
      <c r="BZ91" s="110"/>
      <c r="CA91" s="110"/>
      <c r="CB91" s="110"/>
      <c r="CC91" s="110"/>
      <c r="CD91" s="110"/>
      <c r="CE91" s="110"/>
      <c r="CF91" s="110"/>
      <c r="CG91" s="113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66"/>
      <c r="DA91" s="70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56"/>
      <c r="DR91" s="57"/>
      <c r="DS91" s="58"/>
      <c r="DT91" s="58"/>
      <c r="DU91" s="58"/>
      <c r="DV91" s="58"/>
      <c r="DW91" s="58"/>
      <c r="DX91" s="58"/>
      <c r="DY91" s="58"/>
      <c r="DZ91" s="59"/>
      <c r="EA91" s="60"/>
      <c r="EB91" s="61"/>
      <c r="EC91" s="62"/>
      <c r="ED91" s="2"/>
      <c r="EE91" s="63"/>
      <c r="EF91" s="63"/>
      <c r="EG91" s="63"/>
      <c r="EH91" s="63"/>
      <c r="EI91" s="63"/>
      <c r="EJ91" s="63"/>
      <c r="EK91" s="63"/>
      <c r="EL91" s="63"/>
      <c r="EM91" s="63"/>
      <c r="EN91" s="63"/>
      <c r="EO91" s="63"/>
      <c r="EP91" s="63"/>
      <c r="EQ91" s="63"/>
      <c r="ER91" s="63"/>
      <c r="ES91" s="63"/>
      <c r="ET91" s="63"/>
      <c r="EU91" s="80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5">
        <f t="shared" si="60"/>
        <v>0</v>
      </c>
      <c r="FH91" s="84">
        <f t="shared" si="61"/>
        <v>-25</v>
      </c>
      <c r="FI91" s="64"/>
      <c r="FJ91" s="8"/>
      <c r="FK91" s="48"/>
      <c r="FL91" s="48"/>
      <c r="FM91" s="48"/>
      <c r="FN91" s="48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8"/>
      <c r="GG91" s="48"/>
      <c r="GH91" s="48"/>
      <c r="GI91" s="48"/>
      <c r="GJ91" s="8"/>
      <c r="GK91" s="9">
        <f t="shared" si="62"/>
        <v>0</v>
      </c>
      <c r="GL91" s="9">
        <f t="shared" si="63"/>
        <v>0</v>
      </c>
      <c r="GM91" s="9">
        <f t="shared" si="64"/>
        <v>0</v>
      </c>
      <c r="GN91" s="9">
        <f t="shared" si="65"/>
        <v>0</v>
      </c>
      <c r="GO91" s="9">
        <f t="shared" si="66"/>
        <v>0</v>
      </c>
      <c r="GP91" s="9">
        <f t="shared" si="67"/>
        <v>0</v>
      </c>
      <c r="GQ91" s="9">
        <f t="shared" si="68"/>
        <v>0</v>
      </c>
      <c r="GR91" s="9">
        <f t="shared" si="69"/>
        <v>0</v>
      </c>
      <c r="GS91" s="9">
        <f t="shared" si="70"/>
        <v>0</v>
      </c>
      <c r="GT91" s="9">
        <f t="shared" si="71"/>
        <v>0</v>
      </c>
      <c r="GU91" s="9">
        <f t="shared" si="72"/>
        <v>0</v>
      </c>
      <c r="GV91" s="9">
        <f t="shared" si="73"/>
        <v>0</v>
      </c>
      <c r="GW91" s="9">
        <f t="shared" si="74"/>
        <v>0</v>
      </c>
      <c r="GX91" s="77">
        <f t="shared" si="75"/>
        <v>0</v>
      </c>
      <c r="GY91" s="77">
        <f t="shared" si="76"/>
        <v>0</v>
      </c>
      <c r="GZ91" s="77">
        <f t="shared" si="77"/>
        <v>0</v>
      </c>
    </row>
    <row r="92" spans="1:208">
      <c r="A92" s="48"/>
      <c r="B92" s="49"/>
      <c r="C92" s="50"/>
      <c r="D92" s="51"/>
      <c r="E92" s="50"/>
      <c r="F92" s="52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90"/>
      <c r="V92" s="91"/>
      <c r="W92" s="92"/>
      <c r="X92" s="92"/>
      <c r="Y92" s="92"/>
      <c r="Z92" s="91"/>
      <c r="AA92" s="93"/>
      <c r="AB92" s="99"/>
      <c r="AC92" s="54"/>
      <c r="AD92" s="54"/>
      <c r="AE92" s="54"/>
      <c r="AF92" s="54"/>
      <c r="AG92" s="54"/>
      <c r="AH92" s="54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113"/>
      <c r="BB92" s="110"/>
      <c r="BC92" s="110"/>
      <c r="BD92" s="110"/>
      <c r="BE92" s="110"/>
      <c r="BF92" s="110"/>
      <c r="BG92" s="110"/>
      <c r="BH92" s="110"/>
      <c r="BI92" s="113"/>
      <c r="BJ92" s="110"/>
      <c r="BK92" s="110"/>
      <c r="BL92" s="110"/>
      <c r="BM92" s="110"/>
      <c r="BN92" s="113"/>
      <c r="BO92" s="110"/>
      <c r="BP92" s="110"/>
      <c r="BQ92" s="110"/>
      <c r="BR92" s="110"/>
      <c r="BS92" s="110"/>
      <c r="BT92" s="110"/>
      <c r="BU92" s="110"/>
      <c r="BV92" s="110"/>
      <c r="BW92" s="110"/>
      <c r="BX92" s="113"/>
      <c r="BY92" s="110"/>
      <c r="BZ92" s="110"/>
      <c r="CA92" s="110"/>
      <c r="CB92" s="110"/>
      <c r="CC92" s="110"/>
      <c r="CD92" s="110"/>
      <c r="CE92" s="110"/>
      <c r="CF92" s="110"/>
      <c r="CG92" s="113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66"/>
      <c r="DA92" s="70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56"/>
      <c r="DR92" s="57"/>
      <c r="DS92" s="58"/>
      <c r="DT92" s="58"/>
      <c r="DU92" s="58"/>
      <c r="DV92" s="58"/>
      <c r="DW92" s="58"/>
      <c r="DX92" s="58"/>
      <c r="DY92" s="58"/>
      <c r="DZ92" s="59"/>
      <c r="EA92" s="60"/>
      <c r="EB92" s="61"/>
      <c r="EC92" s="62"/>
      <c r="ED92" s="2"/>
      <c r="EE92" s="63"/>
      <c r="EF92" s="63"/>
      <c r="EG92" s="63"/>
      <c r="EH92" s="63"/>
      <c r="EI92" s="63"/>
      <c r="EJ92" s="63"/>
      <c r="EK92" s="63"/>
      <c r="EL92" s="63"/>
      <c r="EM92" s="63"/>
      <c r="EN92" s="63"/>
      <c r="EO92" s="63"/>
      <c r="EP92" s="63"/>
      <c r="EQ92" s="63"/>
      <c r="ER92" s="63"/>
      <c r="ES92" s="63"/>
      <c r="ET92" s="63"/>
      <c r="EU92" s="80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5">
        <f t="shared" si="60"/>
        <v>0</v>
      </c>
      <c r="FH92" s="84">
        <f t="shared" si="61"/>
        <v>-25</v>
      </c>
      <c r="FI92" s="64"/>
      <c r="FJ92" s="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8"/>
      <c r="GG92" s="48"/>
      <c r="GH92" s="48"/>
      <c r="GI92" s="48"/>
      <c r="GJ92" s="8"/>
      <c r="GK92" s="9">
        <f t="shared" si="62"/>
        <v>0</v>
      </c>
      <c r="GL92" s="9">
        <f t="shared" si="63"/>
        <v>0</v>
      </c>
      <c r="GM92" s="9">
        <f t="shared" si="64"/>
        <v>0</v>
      </c>
      <c r="GN92" s="9">
        <f t="shared" si="65"/>
        <v>0</v>
      </c>
      <c r="GO92" s="9">
        <f t="shared" si="66"/>
        <v>0</v>
      </c>
      <c r="GP92" s="9">
        <f t="shared" si="67"/>
        <v>0</v>
      </c>
      <c r="GQ92" s="9">
        <f t="shared" si="68"/>
        <v>0</v>
      </c>
      <c r="GR92" s="9">
        <f t="shared" si="69"/>
        <v>0</v>
      </c>
      <c r="GS92" s="9">
        <f t="shared" si="70"/>
        <v>0</v>
      </c>
      <c r="GT92" s="9">
        <f t="shared" si="71"/>
        <v>0</v>
      </c>
      <c r="GU92" s="9">
        <f t="shared" si="72"/>
        <v>0</v>
      </c>
      <c r="GV92" s="9">
        <f t="shared" si="73"/>
        <v>0</v>
      </c>
      <c r="GW92" s="9">
        <f t="shared" si="74"/>
        <v>0</v>
      </c>
      <c r="GX92" s="77">
        <f t="shared" si="75"/>
        <v>0</v>
      </c>
      <c r="GY92" s="77">
        <f t="shared" si="76"/>
        <v>0</v>
      </c>
      <c r="GZ92" s="77">
        <f t="shared" si="77"/>
        <v>0</v>
      </c>
    </row>
    <row r="93" spans="1:208">
      <c r="A93" s="48"/>
      <c r="B93" s="49"/>
      <c r="C93" s="50"/>
      <c r="D93" s="51"/>
      <c r="E93" s="50"/>
      <c r="F93" s="52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90"/>
      <c r="V93" s="91"/>
      <c r="W93" s="92"/>
      <c r="X93" s="92"/>
      <c r="Y93" s="92"/>
      <c r="Z93" s="91"/>
      <c r="AA93" s="93"/>
      <c r="AB93" s="99"/>
      <c r="AC93" s="54"/>
      <c r="AD93" s="54"/>
      <c r="AE93" s="54"/>
      <c r="AF93" s="54"/>
      <c r="AG93" s="54"/>
      <c r="AH93" s="54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113"/>
      <c r="BB93" s="110"/>
      <c r="BC93" s="110"/>
      <c r="BD93" s="110"/>
      <c r="BE93" s="110"/>
      <c r="BF93" s="110"/>
      <c r="BG93" s="110"/>
      <c r="BH93" s="110"/>
      <c r="BI93" s="113"/>
      <c r="BJ93" s="110"/>
      <c r="BK93" s="110"/>
      <c r="BL93" s="110"/>
      <c r="BM93" s="110"/>
      <c r="BN93" s="113"/>
      <c r="BO93" s="110"/>
      <c r="BP93" s="110"/>
      <c r="BQ93" s="110"/>
      <c r="BR93" s="110"/>
      <c r="BS93" s="110"/>
      <c r="BT93" s="110"/>
      <c r="BU93" s="110"/>
      <c r="BV93" s="110"/>
      <c r="BW93" s="110"/>
      <c r="BX93" s="113"/>
      <c r="BY93" s="110"/>
      <c r="BZ93" s="110"/>
      <c r="CA93" s="110"/>
      <c r="CB93" s="110"/>
      <c r="CC93" s="110"/>
      <c r="CD93" s="110"/>
      <c r="CE93" s="110"/>
      <c r="CF93" s="110"/>
      <c r="CG93" s="113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66"/>
      <c r="DA93" s="70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56"/>
      <c r="DR93" s="57"/>
      <c r="DS93" s="58"/>
      <c r="DT93" s="58"/>
      <c r="DU93" s="58"/>
      <c r="DV93" s="58"/>
      <c r="DW93" s="58"/>
      <c r="DX93" s="58"/>
      <c r="DY93" s="58"/>
      <c r="DZ93" s="59"/>
      <c r="EA93" s="60"/>
      <c r="EB93" s="61"/>
      <c r="EC93" s="62"/>
      <c r="ED93" s="2"/>
      <c r="EE93" s="63"/>
      <c r="EF93" s="63"/>
      <c r="EG93" s="63"/>
      <c r="EH93" s="63"/>
      <c r="EI93" s="63"/>
      <c r="EJ93" s="63"/>
      <c r="EK93" s="63"/>
      <c r="EL93" s="63"/>
      <c r="EM93" s="63"/>
      <c r="EN93" s="63"/>
      <c r="EO93" s="63"/>
      <c r="EP93" s="63"/>
      <c r="EQ93" s="63"/>
      <c r="ER93" s="63"/>
      <c r="ES93" s="63"/>
      <c r="ET93" s="63"/>
      <c r="EU93" s="80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5">
        <f t="shared" si="60"/>
        <v>0</v>
      </c>
      <c r="FH93" s="84">
        <f t="shared" si="61"/>
        <v>-25</v>
      </c>
      <c r="FI93" s="64"/>
      <c r="FJ93" s="8"/>
      <c r="FK93" s="48"/>
      <c r="FL93" s="48"/>
      <c r="FM93" s="48"/>
      <c r="FN93" s="48"/>
      <c r="FO93" s="48"/>
      <c r="FP93" s="48"/>
      <c r="FQ93" s="48"/>
      <c r="FR93" s="48"/>
      <c r="FS93" s="48"/>
      <c r="FT93" s="48"/>
      <c r="FU93" s="48"/>
      <c r="FV93" s="48"/>
      <c r="FW93" s="48"/>
      <c r="FX93" s="48"/>
      <c r="FY93" s="48"/>
      <c r="FZ93" s="48"/>
      <c r="GA93" s="48"/>
      <c r="GB93" s="48"/>
      <c r="GC93" s="48"/>
      <c r="GD93" s="48"/>
      <c r="GE93" s="48"/>
      <c r="GF93" s="48"/>
      <c r="GG93" s="48"/>
      <c r="GH93" s="48"/>
      <c r="GI93" s="48"/>
      <c r="GJ93" s="8"/>
      <c r="GK93" s="9">
        <f t="shared" si="62"/>
        <v>0</v>
      </c>
      <c r="GL93" s="9">
        <f t="shared" si="63"/>
        <v>0</v>
      </c>
      <c r="GM93" s="9">
        <f t="shared" si="64"/>
        <v>0</v>
      </c>
      <c r="GN93" s="9">
        <f t="shared" si="65"/>
        <v>0</v>
      </c>
      <c r="GO93" s="9">
        <f t="shared" si="66"/>
        <v>0</v>
      </c>
      <c r="GP93" s="9">
        <f t="shared" si="67"/>
        <v>0</v>
      </c>
      <c r="GQ93" s="9">
        <f t="shared" si="68"/>
        <v>0</v>
      </c>
      <c r="GR93" s="9">
        <f t="shared" si="69"/>
        <v>0</v>
      </c>
      <c r="GS93" s="9">
        <f t="shared" si="70"/>
        <v>0</v>
      </c>
      <c r="GT93" s="9">
        <f t="shared" si="71"/>
        <v>0</v>
      </c>
      <c r="GU93" s="9">
        <f t="shared" si="72"/>
        <v>0</v>
      </c>
      <c r="GV93" s="9">
        <f t="shared" si="73"/>
        <v>0</v>
      </c>
      <c r="GW93" s="9">
        <f t="shared" si="74"/>
        <v>0</v>
      </c>
      <c r="GX93" s="77">
        <f t="shared" si="75"/>
        <v>0</v>
      </c>
      <c r="GY93" s="77">
        <f t="shared" si="76"/>
        <v>0</v>
      </c>
      <c r="GZ93" s="77">
        <f t="shared" si="77"/>
        <v>0</v>
      </c>
    </row>
    <row r="94" spans="1:208">
      <c r="A94" s="48"/>
      <c r="B94" s="49"/>
      <c r="C94" s="50"/>
      <c r="D94" s="51"/>
      <c r="E94" s="50"/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90"/>
      <c r="V94" s="91"/>
      <c r="W94" s="92"/>
      <c r="X94" s="92"/>
      <c r="Y94" s="92"/>
      <c r="Z94" s="91"/>
      <c r="AA94" s="93"/>
      <c r="AB94" s="99"/>
      <c r="AC94" s="54"/>
      <c r="AD94" s="54"/>
      <c r="AE94" s="54"/>
      <c r="AF94" s="54"/>
      <c r="AG94" s="54"/>
      <c r="AH94" s="54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113"/>
      <c r="BB94" s="110"/>
      <c r="BC94" s="110"/>
      <c r="BD94" s="110"/>
      <c r="BE94" s="110"/>
      <c r="BF94" s="110"/>
      <c r="BG94" s="110"/>
      <c r="BH94" s="110"/>
      <c r="BI94" s="113"/>
      <c r="BJ94" s="110"/>
      <c r="BK94" s="110"/>
      <c r="BL94" s="110"/>
      <c r="BM94" s="110"/>
      <c r="BN94" s="113"/>
      <c r="BO94" s="110"/>
      <c r="BP94" s="110"/>
      <c r="BQ94" s="110"/>
      <c r="BR94" s="110"/>
      <c r="BS94" s="110"/>
      <c r="BT94" s="110"/>
      <c r="BU94" s="110"/>
      <c r="BV94" s="110"/>
      <c r="BW94" s="110"/>
      <c r="BX94" s="113"/>
      <c r="BY94" s="110"/>
      <c r="BZ94" s="110"/>
      <c r="CA94" s="110"/>
      <c r="CB94" s="110"/>
      <c r="CC94" s="110"/>
      <c r="CD94" s="110"/>
      <c r="CE94" s="110"/>
      <c r="CF94" s="110"/>
      <c r="CG94" s="113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66"/>
      <c r="DA94" s="70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56"/>
      <c r="DR94" s="57"/>
      <c r="DS94" s="58"/>
      <c r="DT94" s="58"/>
      <c r="DU94" s="58"/>
      <c r="DV94" s="58"/>
      <c r="DW94" s="58"/>
      <c r="DX94" s="58"/>
      <c r="DY94" s="58"/>
      <c r="DZ94" s="59"/>
      <c r="EA94" s="60"/>
      <c r="EB94" s="61"/>
      <c r="EC94" s="62"/>
      <c r="ED94" s="2"/>
      <c r="EE94" s="63"/>
      <c r="EF94" s="63"/>
      <c r="EG94" s="63"/>
      <c r="EH94" s="63"/>
      <c r="EI94" s="63"/>
      <c r="EJ94" s="63"/>
      <c r="EK94" s="63"/>
      <c r="EL94" s="63"/>
      <c r="EM94" s="63"/>
      <c r="EN94" s="63"/>
      <c r="EO94" s="63"/>
      <c r="EP94" s="63"/>
      <c r="EQ94" s="63"/>
      <c r="ER94" s="63"/>
      <c r="ES94" s="63"/>
      <c r="ET94" s="63"/>
      <c r="EU94" s="80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5">
        <f t="shared" si="60"/>
        <v>0</v>
      </c>
      <c r="FH94" s="84">
        <f t="shared" si="61"/>
        <v>-25</v>
      </c>
      <c r="FI94" s="64"/>
      <c r="FJ94" s="8"/>
      <c r="FK94" s="48"/>
      <c r="FL94" s="48"/>
      <c r="FM94" s="48"/>
      <c r="FN94" s="48"/>
      <c r="FO94" s="48"/>
      <c r="FP94" s="48"/>
      <c r="FQ94" s="48"/>
      <c r="FR94" s="48"/>
      <c r="FS94" s="48"/>
      <c r="FT94" s="48"/>
      <c r="FU94" s="48"/>
      <c r="FV94" s="48"/>
      <c r="FW94" s="48"/>
      <c r="FX94" s="48"/>
      <c r="FY94" s="48"/>
      <c r="FZ94" s="48"/>
      <c r="GA94" s="48"/>
      <c r="GB94" s="48"/>
      <c r="GC94" s="48"/>
      <c r="GD94" s="48"/>
      <c r="GE94" s="48"/>
      <c r="GF94" s="48"/>
      <c r="GG94" s="48"/>
      <c r="GH94" s="48"/>
      <c r="GI94" s="48"/>
      <c r="GJ94" s="8"/>
      <c r="GK94" s="9">
        <f t="shared" si="62"/>
        <v>0</v>
      </c>
      <c r="GL94" s="9">
        <f t="shared" si="63"/>
        <v>0</v>
      </c>
      <c r="GM94" s="9">
        <f t="shared" si="64"/>
        <v>0</v>
      </c>
      <c r="GN94" s="9">
        <f t="shared" si="65"/>
        <v>0</v>
      </c>
      <c r="GO94" s="9">
        <f t="shared" si="66"/>
        <v>0</v>
      </c>
      <c r="GP94" s="9">
        <f t="shared" si="67"/>
        <v>0</v>
      </c>
      <c r="GQ94" s="9">
        <f t="shared" si="68"/>
        <v>0</v>
      </c>
      <c r="GR94" s="9">
        <f t="shared" si="69"/>
        <v>0</v>
      </c>
      <c r="GS94" s="9">
        <f t="shared" si="70"/>
        <v>0</v>
      </c>
      <c r="GT94" s="9">
        <f t="shared" si="71"/>
        <v>0</v>
      </c>
      <c r="GU94" s="9">
        <f t="shared" si="72"/>
        <v>0</v>
      </c>
      <c r="GV94" s="9">
        <f t="shared" si="73"/>
        <v>0</v>
      </c>
      <c r="GW94" s="9">
        <f t="shared" si="74"/>
        <v>0</v>
      </c>
      <c r="GX94" s="77">
        <f t="shared" si="75"/>
        <v>0</v>
      </c>
      <c r="GY94" s="77">
        <f t="shared" si="76"/>
        <v>0</v>
      </c>
      <c r="GZ94" s="77">
        <f t="shared" si="77"/>
        <v>0</v>
      </c>
    </row>
    <row r="95" spans="1:208">
      <c r="A95" s="48"/>
      <c r="B95" s="49"/>
      <c r="C95" s="50"/>
      <c r="D95" s="51"/>
      <c r="E95" s="50"/>
      <c r="F95" s="52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90"/>
      <c r="V95" s="91"/>
      <c r="W95" s="92"/>
      <c r="X95" s="92"/>
      <c r="Y95" s="92"/>
      <c r="Z95" s="91"/>
      <c r="AA95" s="93"/>
      <c r="AB95" s="99"/>
      <c r="AC95" s="54"/>
      <c r="AD95" s="54"/>
      <c r="AE95" s="54"/>
      <c r="AF95" s="54"/>
      <c r="AG95" s="54"/>
      <c r="AH95" s="54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113"/>
      <c r="BB95" s="110"/>
      <c r="BC95" s="110"/>
      <c r="BD95" s="110"/>
      <c r="BE95" s="110"/>
      <c r="BF95" s="110"/>
      <c r="BG95" s="110"/>
      <c r="BH95" s="110"/>
      <c r="BI95" s="113"/>
      <c r="BJ95" s="110"/>
      <c r="BK95" s="110"/>
      <c r="BL95" s="110"/>
      <c r="BM95" s="110"/>
      <c r="BN95" s="113"/>
      <c r="BO95" s="110"/>
      <c r="BP95" s="110"/>
      <c r="BQ95" s="110"/>
      <c r="BR95" s="110"/>
      <c r="BS95" s="110"/>
      <c r="BT95" s="110"/>
      <c r="BU95" s="110"/>
      <c r="BV95" s="110"/>
      <c r="BW95" s="110"/>
      <c r="BX95" s="113"/>
      <c r="BY95" s="110"/>
      <c r="BZ95" s="110"/>
      <c r="CA95" s="110"/>
      <c r="CB95" s="110"/>
      <c r="CC95" s="110"/>
      <c r="CD95" s="110"/>
      <c r="CE95" s="110"/>
      <c r="CF95" s="110"/>
      <c r="CG95" s="113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66"/>
      <c r="DA95" s="70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56"/>
      <c r="DR95" s="57"/>
      <c r="DS95" s="58"/>
      <c r="DT95" s="58"/>
      <c r="DU95" s="58"/>
      <c r="DV95" s="58"/>
      <c r="DW95" s="58"/>
      <c r="DX95" s="58"/>
      <c r="DY95" s="58"/>
      <c r="DZ95" s="59"/>
      <c r="EA95" s="60"/>
      <c r="EB95" s="61"/>
      <c r="EC95" s="62"/>
      <c r="ED95" s="2"/>
      <c r="EE95" s="63"/>
      <c r="EF95" s="63"/>
      <c r="EG95" s="63"/>
      <c r="EH95" s="63"/>
      <c r="EI95" s="63"/>
      <c r="EJ95" s="63"/>
      <c r="EK95" s="63"/>
      <c r="EL95" s="63"/>
      <c r="EM95" s="63"/>
      <c r="EN95" s="63"/>
      <c r="EO95" s="63"/>
      <c r="EP95" s="63"/>
      <c r="EQ95" s="63"/>
      <c r="ER95" s="63"/>
      <c r="ES95" s="63"/>
      <c r="ET95" s="63"/>
      <c r="EU95" s="80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5">
        <f t="shared" si="60"/>
        <v>0</v>
      </c>
      <c r="FH95" s="84">
        <f t="shared" si="61"/>
        <v>-25</v>
      </c>
      <c r="FI95" s="64"/>
      <c r="FJ95" s="8"/>
      <c r="FK95" s="48"/>
      <c r="FL95" s="48"/>
      <c r="FM95" s="48"/>
      <c r="FN95" s="48"/>
      <c r="FO95" s="48"/>
      <c r="FP95" s="48"/>
      <c r="FQ95" s="48"/>
      <c r="FR95" s="48"/>
      <c r="FS95" s="48"/>
      <c r="FT95" s="48"/>
      <c r="FU95" s="48"/>
      <c r="FV95" s="48"/>
      <c r="FW95" s="48"/>
      <c r="FX95" s="48"/>
      <c r="FY95" s="48"/>
      <c r="FZ95" s="48"/>
      <c r="GA95" s="48"/>
      <c r="GB95" s="48"/>
      <c r="GC95" s="48"/>
      <c r="GD95" s="48"/>
      <c r="GE95" s="48"/>
      <c r="GF95" s="48"/>
      <c r="GG95" s="48"/>
      <c r="GH95" s="48"/>
      <c r="GI95" s="48"/>
      <c r="GJ95" s="8"/>
      <c r="GK95" s="9">
        <f t="shared" si="62"/>
        <v>0</v>
      </c>
      <c r="GL95" s="9">
        <f t="shared" si="63"/>
        <v>0</v>
      </c>
      <c r="GM95" s="9">
        <f t="shared" si="64"/>
        <v>0</v>
      </c>
      <c r="GN95" s="9">
        <f t="shared" si="65"/>
        <v>0</v>
      </c>
      <c r="GO95" s="9">
        <f t="shared" si="66"/>
        <v>0</v>
      </c>
      <c r="GP95" s="9">
        <f t="shared" si="67"/>
        <v>0</v>
      </c>
      <c r="GQ95" s="9">
        <f t="shared" si="68"/>
        <v>0</v>
      </c>
      <c r="GR95" s="9">
        <f t="shared" si="69"/>
        <v>0</v>
      </c>
      <c r="GS95" s="9">
        <f t="shared" si="70"/>
        <v>0</v>
      </c>
      <c r="GT95" s="9">
        <f t="shared" si="71"/>
        <v>0</v>
      </c>
      <c r="GU95" s="9">
        <f t="shared" si="72"/>
        <v>0</v>
      </c>
      <c r="GV95" s="9">
        <f t="shared" si="73"/>
        <v>0</v>
      </c>
      <c r="GW95" s="9">
        <f t="shared" si="74"/>
        <v>0</v>
      </c>
      <c r="GX95" s="77">
        <f t="shared" si="75"/>
        <v>0</v>
      </c>
      <c r="GY95" s="77">
        <f t="shared" si="76"/>
        <v>0</v>
      </c>
      <c r="GZ95" s="77">
        <f t="shared" si="77"/>
        <v>0</v>
      </c>
    </row>
    <row r="96" spans="1:208">
      <c r="A96" s="48"/>
      <c r="B96" s="49"/>
      <c r="C96" s="50"/>
      <c r="D96" s="51"/>
      <c r="E96" s="50"/>
      <c r="F96" s="52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90"/>
      <c r="V96" s="91"/>
      <c r="W96" s="92"/>
      <c r="X96" s="92"/>
      <c r="Y96" s="92"/>
      <c r="Z96" s="91"/>
      <c r="AA96" s="93"/>
      <c r="AB96" s="99"/>
      <c r="AC96" s="54"/>
      <c r="AD96" s="54"/>
      <c r="AE96" s="54"/>
      <c r="AF96" s="54"/>
      <c r="AG96" s="54"/>
      <c r="AH96" s="54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113"/>
      <c r="BB96" s="110"/>
      <c r="BC96" s="110"/>
      <c r="BD96" s="110"/>
      <c r="BE96" s="110"/>
      <c r="BF96" s="110"/>
      <c r="BG96" s="110"/>
      <c r="BH96" s="110"/>
      <c r="BI96" s="113"/>
      <c r="BJ96" s="110"/>
      <c r="BK96" s="110"/>
      <c r="BL96" s="110"/>
      <c r="BM96" s="110"/>
      <c r="BN96" s="113"/>
      <c r="BO96" s="110"/>
      <c r="BP96" s="110"/>
      <c r="BQ96" s="110"/>
      <c r="BR96" s="110"/>
      <c r="BS96" s="110"/>
      <c r="BT96" s="110"/>
      <c r="BU96" s="110"/>
      <c r="BV96" s="110"/>
      <c r="BW96" s="110"/>
      <c r="BX96" s="113"/>
      <c r="BY96" s="110"/>
      <c r="BZ96" s="110"/>
      <c r="CA96" s="110"/>
      <c r="CB96" s="110"/>
      <c r="CC96" s="110"/>
      <c r="CD96" s="110"/>
      <c r="CE96" s="110"/>
      <c r="CF96" s="110"/>
      <c r="CG96" s="113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66"/>
      <c r="DA96" s="70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56"/>
      <c r="DR96" s="57"/>
      <c r="DS96" s="58"/>
      <c r="DT96" s="58"/>
      <c r="DU96" s="58"/>
      <c r="DV96" s="58"/>
      <c r="DW96" s="58"/>
      <c r="DX96" s="58"/>
      <c r="DY96" s="58"/>
      <c r="DZ96" s="59"/>
      <c r="EA96" s="60"/>
      <c r="EB96" s="61"/>
      <c r="EC96" s="62"/>
      <c r="ED96" s="2"/>
      <c r="EE96" s="63"/>
      <c r="EF96" s="63"/>
      <c r="EG96" s="63"/>
      <c r="EH96" s="63"/>
      <c r="EI96" s="63"/>
      <c r="EJ96" s="63"/>
      <c r="EK96" s="63"/>
      <c r="EL96" s="63"/>
      <c r="EM96" s="63"/>
      <c r="EN96" s="63"/>
      <c r="EO96" s="63"/>
      <c r="EP96" s="63"/>
      <c r="EQ96" s="63"/>
      <c r="ER96" s="63"/>
      <c r="ES96" s="63"/>
      <c r="ET96" s="63"/>
      <c r="EU96" s="80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5">
        <f t="shared" si="60"/>
        <v>0</v>
      </c>
      <c r="FH96" s="84">
        <f t="shared" si="61"/>
        <v>-25</v>
      </c>
      <c r="FI96" s="64"/>
      <c r="FJ96" s="8"/>
      <c r="FK96" s="48"/>
      <c r="FL96" s="48"/>
      <c r="FM96" s="48"/>
      <c r="FN96" s="48"/>
      <c r="FO96" s="48"/>
      <c r="FP96" s="48"/>
      <c r="FQ96" s="48"/>
      <c r="FR96" s="48"/>
      <c r="FS96" s="48"/>
      <c r="FT96" s="48"/>
      <c r="FU96" s="48"/>
      <c r="FV96" s="48"/>
      <c r="FW96" s="48"/>
      <c r="FX96" s="48"/>
      <c r="FY96" s="48"/>
      <c r="FZ96" s="48"/>
      <c r="GA96" s="48"/>
      <c r="GB96" s="48"/>
      <c r="GC96" s="48"/>
      <c r="GD96" s="48"/>
      <c r="GE96" s="48"/>
      <c r="GF96" s="48"/>
      <c r="GG96" s="48"/>
      <c r="GH96" s="48"/>
      <c r="GI96" s="48"/>
      <c r="GJ96" s="8"/>
      <c r="GK96" s="9">
        <f t="shared" si="62"/>
        <v>0</v>
      </c>
      <c r="GL96" s="9">
        <f t="shared" si="63"/>
        <v>0</v>
      </c>
      <c r="GM96" s="9">
        <f t="shared" si="64"/>
        <v>0</v>
      </c>
      <c r="GN96" s="9">
        <f t="shared" si="65"/>
        <v>0</v>
      </c>
      <c r="GO96" s="9">
        <f t="shared" si="66"/>
        <v>0</v>
      </c>
      <c r="GP96" s="9">
        <f t="shared" si="67"/>
        <v>0</v>
      </c>
      <c r="GQ96" s="9">
        <f t="shared" si="68"/>
        <v>0</v>
      </c>
      <c r="GR96" s="9">
        <f t="shared" si="69"/>
        <v>0</v>
      </c>
      <c r="GS96" s="9">
        <f t="shared" si="70"/>
        <v>0</v>
      </c>
      <c r="GT96" s="9">
        <f t="shared" si="71"/>
        <v>0</v>
      </c>
      <c r="GU96" s="9">
        <f t="shared" si="72"/>
        <v>0</v>
      </c>
      <c r="GV96" s="9">
        <f t="shared" si="73"/>
        <v>0</v>
      </c>
      <c r="GW96" s="9">
        <f t="shared" si="74"/>
        <v>0</v>
      </c>
      <c r="GX96" s="77">
        <f t="shared" si="75"/>
        <v>0</v>
      </c>
      <c r="GY96" s="77">
        <f t="shared" si="76"/>
        <v>0</v>
      </c>
      <c r="GZ96" s="77">
        <f t="shared" si="77"/>
        <v>0</v>
      </c>
    </row>
    <row r="97" spans="1:208">
      <c r="A97" s="48"/>
      <c r="B97" s="49"/>
      <c r="C97" s="50"/>
      <c r="D97" s="51"/>
      <c r="E97" s="50"/>
      <c r="F97" s="52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90"/>
      <c r="V97" s="91"/>
      <c r="W97" s="92"/>
      <c r="X97" s="92"/>
      <c r="Y97" s="92"/>
      <c r="Z97" s="91"/>
      <c r="AA97" s="93"/>
      <c r="AB97" s="99"/>
      <c r="AC97" s="54"/>
      <c r="AD97" s="54"/>
      <c r="AE97" s="54"/>
      <c r="AF97" s="54"/>
      <c r="AG97" s="54"/>
      <c r="AH97" s="54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113"/>
      <c r="BB97" s="110"/>
      <c r="BC97" s="110"/>
      <c r="BD97" s="110"/>
      <c r="BE97" s="110"/>
      <c r="BF97" s="110"/>
      <c r="BG97" s="110"/>
      <c r="BH97" s="110"/>
      <c r="BI97" s="113"/>
      <c r="BJ97" s="110"/>
      <c r="BK97" s="110"/>
      <c r="BL97" s="110"/>
      <c r="BM97" s="110"/>
      <c r="BN97" s="113"/>
      <c r="BO97" s="110"/>
      <c r="BP97" s="110"/>
      <c r="BQ97" s="110"/>
      <c r="BR97" s="110"/>
      <c r="BS97" s="110"/>
      <c r="BT97" s="110"/>
      <c r="BU97" s="110"/>
      <c r="BV97" s="110"/>
      <c r="BW97" s="110"/>
      <c r="BX97" s="113"/>
      <c r="BY97" s="110"/>
      <c r="BZ97" s="110"/>
      <c r="CA97" s="110"/>
      <c r="CB97" s="110"/>
      <c r="CC97" s="110"/>
      <c r="CD97" s="110"/>
      <c r="CE97" s="110"/>
      <c r="CF97" s="110"/>
      <c r="CG97" s="113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66"/>
      <c r="DA97" s="70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56"/>
      <c r="DR97" s="57"/>
      <c r="DS97" s="58"/>
      <c r="DT97" s="58"/>
      <c r="DU97" s="58"/>
      <c r="DV97" s="58"/>
      <c r="DW97" s="58"/>
      <c r="DX97" s="58"/>
      <c r="DY97" s="58"/>
      <c r="DZ97" s="59"/>
      <c r="EA97" s="60"/>
      <c r="EB97" s="61"/>
      <c r="EC97" s="62"/>
      <c r="ED97" s="2"/>
      <c r="EE97" s="63"/>
      <c r="EF97" s="63"/>
      <c r="EG97" s="63"/>
      <c r="EH97" s="63"/>
      <c r="EI97" s="63"/>
      <c r="EJ97" s="63"/>
      <c r="EK97" s="63"/>
      <c r="EL97" s="63"/>
      <c r="EM97" s="63"/>
      <c r="EN97" s="63"/>
      <c r="EO97" s="63"/>
      <c r="EP97" s="63"/>
      <c r="EQ97" s="63"/>
      <c r="ER97" s="63"/>
      <c r="ES97" s="63"/>
      <c r="ET97" s="63"/>
      <c r="EU97" s="80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5"/>
      <c r="FH97" s="84"/>
      <c r="FI97" s="64"/>
      <c r="FJ97" s="8"/>
      <c r="FK97" s="48"/>
      <c r="FL97" s="48"/>
      <c r="FM97" s="48"/>
      <c r="FN97" s="48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8"/>
      <c r="GG97" s="48"/>
      <c r="GH97" s="48"/>
      <c r="GI97" s="48"/>
      <c r="GJ97" s="8"/>
      <c r="GK97" s="9">
        <f t="shared" si="62"/>
        <v>0</v>
      </c>
      <c r="GL97" s="9">
        <f t="shared" si="63"/>
        <v>0</v>
      </c>
      <c r="GM97" s="9">
        <f t="shared" si="64"/>
        <v>0</v>
      </c>
      <c r="GN97" s="9">
        <f t="shared" si="65"/>
        <v>0</v>
      </c>
      <c r="GO97" s="9">
        <f t="shared" si="66"/>
        <v>0</v>
      </c>
      <c r="GP97" s="9">
        <f t="shared" si="67"/>
        <v>0</v>
      </c>
      <c r="GQ97" s="9">
        <f t="shared" si="68"/>
        <v>0</v>
      </c>
      <c r="GR97" s="9">
        <f t="shared" si="69"/>
        <v>0</v>
      </c>
      <c r="GS97" s="9">
        <f t="shared" si="70"/>
        <v>0</v>
      </c>
      <c r="GT97" s="9">
        <f t="shared" si="71"/>
        <v>0</v>
      </c>
      <c r="GU97" s="9">
        <f t="shared" si="72"/>
        <v>0</v>
      </c>
      <c r="GV97" s="9">
        <f t="shared" si="73"/>
        <v>0</v>
      </c>
      <c r="GW97" s="9">
        <f t="shared" si="74"/>
        <v>0</v>
      </c>
      <c r="GX97" s="77">
        <f t="shared" si="75"/>
        <v>0</v>
      </c>
      <c r="GY97" s="77">
        <f t="shared" si="76"/>
        <v>0</v>
      </c>
      <c r="GZ97" s="77">
        <f t="shared" si="77"/>
        <v>0</v>
      </c>
    </row>
    <row r="98" spans="1:208">
      <c r="A98" s="48"/>
      <c r="B98" s="49"/>
      <c r="C98" s="50"/>
      <c r="D98" s="51"/>
      <c r="E98" s="50"/>
      <c r="F98" s="52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90"/>
      <c r="V98" s="91"/>
      <c r="W98" s="92"/>
      <c r="X98" s="92"/>
      <c r="Y98" s="92"/>
      <c r="Z98" s="91"/>
      <c r="AA98" s="93"/>
      <c r="AB98" s="99"/>
      <c r="AC98" s="54"/>
      <c r="AD98" s="54"/>
      <c r="AE98" s="54"/>
      <c r="AF98" s="54"/>
      <c r="AG98" s="54"/>
      <c r="AH98" s="54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113"/>
      <c r="BB98" s="110"/>
      <c r="BC98" s="110"/>
      <c r="BD98" s="110"/>
      <c r="BE98" s="110"/>
      <c r="BF98" s="110"/>
      <c r="BG98" s="110"/>
      <c r="BH98" s="110"/>
      <c r="BI98" s="113"/>
      <c r="BJ98" s="110"/>
      <c r="BK98" s="110"/>
      <c r="BL98" s="110"/>
      <c r="BM98" s="110"/>
      <c r="BN98" s="113"/>
      <c r="BO98" s="110"/>
      <c r="BP98" s="110"/>
      <c r="BQ98" s="110"/>
      <c r="BR98" s="110"/>
      <c r="BS98" s="110"/>
      <c r="BT98" s="110"/>
      <c r="BU98" s="110"/>
      <c r="BV98" s="110"/>
      <c r="BW98" s="110"/>
      <c r="BX98" s="113"/>
      <c r="BY98" s="110"/>
      <c r="BZ98" s="110"/>
      <c r="CA98" s="110"/>
      <c r="CB98" s="110"/>
      <c r="CC98" s="110"/>
      <c r="CD98" s="110"/>
      <c r="CE98" s="110"/>
      <c r="CF98" s="110"/>
      <c r="CG98" s="113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66"/>
      <c r="DA98" s="70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56"/>
      <c r="DR98" s="57"/>
      <c r="DS98" s="58"/>
      <c r="DT98" s="58"/>
      <c r="DU98" s="58"/>
      <c r="DV98" s="58"/>
      <c r="DW98" s="58"/>
      <c r="DX98" s="58"/>
      <c r="DY98" s="58"/>
      <c r="DZ98" s="59"/>
      <c r="EA98" s="60"/>
      <c r="EB98" s="61"/>
      <c r="EC98" s="62"/>
      <c r="ED98" s="2"/>
      <c r="EE98" s="63"/>
      <c r="EF98" s="63"/>
      <c r="EG98" s="63"/>
      <c r="EH98" s="63"/>
      <c r="EI98" s="63"/>
      <c r="EJ98" s="63"/>
      <c r="EK98" s="63"/>
      <c r="EL98" s="63"/>
      <c r="EM98" s="63"/>
      <c r="EN98" s="63"/>
      <c r="EO98" s="63"/>
      <c r="EP98" s="63"/>
      <c r="EQ98" s="63"/>
      <c r="ER98" s="63"/>
      <c r="ES98" s="63"/>
      <c r="ET98" s="63"/>
      <c r="EU98" s="80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5"/>
      <c r="FH98" s="84"/>
      <c r="FI98" s="64"/>
      <c r="FJ98" s="8"/>
      <c r="FK98" s="48"/>
      <c r="FL98" s="48"/>
      <c r="FM98" s="48"/>
      <c r="FN98" s="48"/>
      <c r="FO98" s="48"/>
      <c r="FP98" s="48"/>
      <c r="FQ98" s="48"/>
      <c r="FR98" s="48"/>
      <c r="FS98" s="48"/>
      <c r="FT98" s="48"/>
      <c r="FU98" s="48"/>
      <c r="FV98" s="48"/>
      <c r="FW98" s="48"/>
      <c r="FX98" s="48"/>
      <c r="FY98" s="48"/>
      <c r="FZ98" s="48"/>
      <c r="GA98" s="48"/>
      <c r="GB98" s="48"/>
      <c r="GC98" s="48"/>
      <c r="GD98" s="48"/>
      <c r="GE98" s="48"/>
      <c r="GF98" s="48"/>
      <c r="GG98" s="48"/>
      <c r="GH98" s="48"/>
      <c r="GI98" s="48"/>
      <c r="GJ98" s="8"/>
      <c r="GK98" s="9">
        <f t="shared" si="62"/>
        <v>0</v>
      </c>
      <c r="GL98" s="9">
        <f t="shared" si="63"/>
        <v>0</v>
      </c>
      <c r="GM98" s="9">
        <f t="shared" si="64"/>
        <v>0</v>
      </c>
      <c r="GN98" s="9">
        <f t="shared" si="65"/>
        <v>0</v>
      </c>
      <c r="GO98" s="9">
        <f t="shared" si="66"/>
        <v>0</v>
      </c>
      <c r="GP98" s="9">
        <f t="shared" si="67"/>
        <v>0</v>
      </c>
      <c r="GQ98" s="9">
        <f t="shared" si="68"/>
        <v>0</v>
      </c>
      <c r="GR98" s="9">
        <f t="shared" si="69"/>
        <v>0</v>
      </c>
      <c r="GS98" s="9">
        <f t="shared" si="70"/>
        <v>0</v>
      </c>
      <c r="GT98" s="9">
        <f t="shared" si="71"/>
        <v>0</v>
      </c>
      <c r="GU98" s="9">
        <f t="shared" si="72"/>
        <v>0</v>
      </c>
      <c r="GV98" s="9">
        <f t="shared" si="73"/>
        <v>0</v>
      </c>
      <c r="GW98" s="9">
        <f t="shared" si="74"/>
        <v>0</v>
      </c>
      <c r="GX98" s="77">
        <f t="shared" si="75"/>
        <v>0</v>
      </c>
      <c r="GY98" s="77">
        <f t="shared" si="76"/>
        <v>0</v>
      </c>
      <c r="GZ98" s="77">
        <f t="shared" si="77"/>
        <v>0</v>
      </c>
    </row>
    <row r="99" spans="1:208">
      <c r="A99" s="48"/>
      <c r="B99" s="49"/>
      <c r="C99" s="50"/>
      <c r="D99" s="51"/>
      <c r="E99" s="50"/>
      <c r="F99" s="52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90"/>
      <c r="V99" s="91"/>
      <c r="W99" s="92"/>
      <c r="X99" s="92"/>
      <c r="Y99" s="92"/>
      <c r="Z99" s="91"/>
      <c r="AA99" s="93"/>
      <c r="AB99" s="99"/>
      <c r="AC99" s="54"/>
      <c r="AD99" s="54"/>
      <c r="AE99" s="54"/>
      <c r="AF99" s="54"/>
      <c r="AG99" s="54"/>
      <c r="AH99" s="54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113"/>
      <c r="BB99" s="110"/>
      <c r="BC99" s="110"/>
      <c r="BD99" s="110"/>
      <c r="BE99" s="110"/>
      <c r="BF99" s="110"/>
      <c r="BG99" s="110"/>
      <c r="BH99" s="110"/>
      <c r="BI99" s="113"/>
      <c r="BJ99" s="110"/>
      <c r="BK99" s="110"/>
      <c r="BL99" s="110"/>
      <c r="BM99" s="110"/>
      <c r="BN99" s="113"/>
      <c r="BO99" s="110"/>
      <c r="BP99" s="110"/>
      <c r="BQ99" s="110"/>
      <c r="BR99" s="110"/>
      <c r="BS99" s="110"/>
      <c r="BT99" s="110"/>
      <c r="BU99" s="110"/>
      <c r="BV99" s="110"/>
      <c r="BW99" s="110"/>
      <c r="BX99" s="113"/>
      <c r="BY99" s="110"/>
      <c r="BZ99" s="110"/>
      <c r="CA99" s="110"/>
      <c r="CB99" s="110"/>
      <c r="CC99" s="110"/>
      <c r="CD99" s="110"/>
      <c r="CE99" s="110"/>
      <c r="CF99" s="110"/>
      <c r="CG99" s="113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66"/>
      <c r="DA99" s="70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56"/>
      <c r="DR99" s="57"/>
      <c r="DS99" s="58"/>
      <c r="DT99" s="58"/>
      <c r="DU99" s="58"/>
      <c r="DV99" s="58"/>
      <c r="DW99" s="58"/>
      <c r="DX99" s="58"/>
      <c r="DY99" s="58"/>
      <c r="DZ99" s="59"/>
      <c r="EA99" s="60"/>
      <c r="EB99" s="61"/>
      <c r="EC99" s="62"/>
      <c r="ED99" s="2"/>
      <c r="EE99" s="63"/>
      <c r="EF99" s="63"/>
      <c r="EG99" s="63"/>
      <c r="EH99" s="63"/>
      <c r="EI99" s="63"/>
      <c r="EJ99" s="63"/>
      <c r="EK99" s="63"/>
      <c r="EL99" s="63"/>
      <c r="EM99" s="63"/>
      <c r="EN99" s="63"/>
      <c r="EO99" s="63"/>
      <c r="EP99" s="63"/>
      <c r="EQ99" s="63"/>
      <c r="ER99" s="63"/>
      <c r="ES99" s="63"/>
      <c r="ET99" s="63"/>
      <c r="EU99" s="80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5"/>
      <c r="FH99" s="84"/>
      <c r="FI99" s="64"/>
      <c r="FJ99" s="8"/>
      <c r="FK99" s="48"/>
      <c r="FL99" s="48"/>
      <c r="FM99" s="48"/>
      <c r="FN99" s="48"/>
      <c r="FO99" s="48"/>
      <c r="FP99" s="48"/>
      <c r="FQ99" s="48"/>
      <c r="FR99" s="48"/>
      <c r="FS99" s="48"/>
      <c r="FT99" s="48"/>
      <c r="FU99" s="48"/>
      <c r="FV99" s="48"/>
      <c r="FW99" s="48"/>
      <c r="FX99" s="48"/>
      <c r="FY99" s="48"/>
      <c r="FZ99" s="48"/>
      <c r="GA99" s="48"/>
      <c r="GB99" s="48"/>
      <c r="GC99" s="48"/>
      <c r="GD99" s="48"/>
      <c r="GE99" s="48"/>
      <c r="GF99" s="48"/>
      <c r="GG99" s="48"/>
      <c r="GH99" s="48"/>
      <c r="GI99" s="48"/>
      <c r="GJ99" s="8"/>
      <c r="GK99" s="9">
        <f t="shared" si="62"/>
        <v>0</v>
      </c>
      <c r="GL99" s="9">
        <f t="shared" si="63"/>
        <v>0</v>
      </c>
      <c r="GM99" s="9">
        <f t="shared" si="64"/>
        <v>0</v>
      </c>
      <c r="GN99" s="9">
        <f t="shared" si="65"/>
        <v>0</v>
      </c>
      <c r="GO99" s="9">
        <f t="shared" si="66"/>
        <v>0</v>
      </c>
      <c r="GP99" s="9">
        <f t="shared" si="67"/>
        <v>0</v>
      </c>
      <c r="GQ99" s="9">
        <f t="shared" si="68"/>
        <v>0</v>
      </c>
      <c r="GR99" s="9">
        <f t="shared" si="69"/>
        <v>0</v>
      </c>
      <c r="GS99" s="9">
        <f t="shared" si="70"/>
        <v>0</v>
      </c>
      <c r="GT99" s="9">
        <f t="shared" si="71"/>
        <v>0</v>
      </c>
      <c r="GU99" s="9">
        <f t="shared" si="72"/>
        <v>0</v>
      </c>
      <c r="GV99" s="9">
        <f t="shared" si="73"/>
        <v>0</v>
      </c>
      <c r="GW99" s="9">
        <f t="shared" si="74"/>
        <v>0</v>
      </c>
      <c r="GX99" s="77">
        <f t="shared" si="75"/>
        <v>0</v>
      </c>
      <c r="GY99" s="77">
        <f t="shared" si="76"/>
        <v>0</v>
      </c>
      <c r="GZ99" s="77">
        <f t="shared" si="77"/>
        <v>0</v>
      </c>
    </row>
    <row r="100" spans="1:208">
      <c r="A100" s="48"/>
      <c r="B100" s="49"/>
      <c r="C100" s="50"/>
      <c r="D100" s="51"/>
      <c r="E100" s="50"/>
      <c r="F100" s="52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90"/>
      <c r="V100" s="91"/>
      <c r="W100" s="92"/>
      <c r="X100" s="92"/>
      <c r="Y100" s="92"/>
      <c r="Z100" s="91"/>
      <c r="AA100" s="93"/>
      <c r="AB100" s="99"/>
      <c r="AC100" s="54"/>
      <c r="AD100" s="54"/>
      <c r="AE100" s="54"/>
      <c r="AF100" s="54"/>
      <c r="AG100" s="54"/>
      <c r="AH100" s="54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113"/>
      <c r="BB100" s="110"/>
      <c r="BC100" s="110"/>
      <c r="BD100" s="110"/>
      <c r="BE100" s="110"/>
      <c r="BF100" s="110"/>
      <c r="BG100" s="110"/>
      <c r="BH100" s="110"/>
      <c r="BI100" s="113"/>
      <c r="BJ100" s="110"/>
      <c r="BK100" s="110"/>
      <c r="BL100" s="110"/>
      <c r="BM100" s="110"/>
      <c r="BN100" s="113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3"/>
      <c r="BY100" s="110"/>
      <c r="BZ100" s="110"/>
      <c r="CA100" s="110"/>
      <c r="CB100" s="110"/>
      <c r="CC100" s="110"/>
      <c r="CD100" s="110"/>
      <c r="CE100" s="110"/>
      <c r="CF100" s="110"/>
      <c r="CG100" s="113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66"/>
      <c r="DA100" s="70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56"/>
      <c r="DR100" s="57"/>
      <c r="DS100" s="58"/>
      <c r="DT100" s="58"/>
      <c r="DU100" s="58"/>
      <c r="DV100" s="58"/>
      <c r="DW100" s="58"/>
      <c r="DX100" s="58"/>
      <c r="DY100" s="58"/>
      <c r="DZ100" s="59"/>
      <c r="EA100" s="60"/>
      <c r="EB100" s="61"/>
      <c r="EC100" s="62"/>
      <c r="ED100" s="2"/>
      <c r="EE100" s="63"/>
      <c r="EF100" s="63"/>
      <c r="EG100" s="63"/>
      <c r="EH100" s="63"/>
      <c r="EI100" s="63"/>
      <c r="EJ100" s="63"/>
      <c r="EK100" s="63"/>
      <c r="EL100" s="63"/>
      <c r="EM100" s="63"/>
      <c r="EN100" s="63"/>
      <c r="EO100" s="63"/>
      <c r="EP100" s="63"/>
      <c r="EQ100" s="63"/>
      <c r="ER100" s="63"/>
      <c r="ES100" s="63"/>
      <c r="ET100" s="63"/>
      <c r="EU100" s="80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5"/>
      <c r="FH100" s="84"/>
      <c r="FI100" s="64"/>
      <c r="FJ100" s="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8"/>
      <c r="GG100" s="48"/>
      <c r="GH100" s="48"/>
      <c r="GI100" s="48"/>
      <c r="GJ100" s="8"/>
      <c r="GK100" s="9">
        <f t="shared" si="62"/>
        <v>0</v>
      </c>
      <c r="GL100" s="9">
        <f t="shared" si="63"/>
        <v>0</v>
      </c>
      <c r="GM100" s="9">
        <f t="shared" si="64"/>
        <v>0</v>
      </c>
      <c r="GN100" s="9">
        <f t="shared" si="65"/>
        <v>0</v>
      </c>
      <c r="GO100" s="9">
        <f t="shared" si="66"/>
        <v>0</v>
      </c>
      <c r="GP100" s="9">
        <f t="shared" si="67"/>
        <v>0</v>
      </c>
      <c r="GQ100" s="9">
        <f t="shared" si="68"/>
        <v>0</v>
      </c>
      <c r="GR100" s="9">
        <f t="shared" si="69"/>
        <v>0</v>
      </c>
      <c r="GS100" s="9">
        <f t="shared" si="70"/>
        <v>0</v>
      </c>
      <c r="GT100" s="9">
        <f t="shared" si="71"/>
        <v>0</v>
      </c>
      <c r="GU100" s="9">
        <f t="shared" si="72"/>
        <v>0</v>
      </c>
      <c r="GV100" s="9">
        <f t="shared" si="73"/>
        <v>0</v>
      </c>
      <c r="GW100" s="9">
        <f t="shared" si="74"/>
        <v>0</v>
      </c>
      <c r="GX100" s="77">
        <f t="shared" si="75"/>
        <v>0</v>
      </c>
      <c r="GY100" s="77">
        <f t="shared" si="76"/>
        <v>0</v>
      </c>
      <c r="GZ100" s="77">
        <f t="shared" si="77"/>
        <v>0</v>
      </c>
    </row>
    <row r="101" spans="1:208">
      <c r="A101" s="48"/>
      <c r="B101" s="49"/>
      <c r="C101" s="50"/>
      <c r="D101" s="51"/>
      <c r="E101" s="50"/>
      <c r="F101" s="52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90"/>
      <c r="V101" s="91"/>
      <c r="W101" s="92"/>
      <c r="X101" s="92"/>
      <c r="Y101" s="92"/>
      <c r="Z101" s="91"/>
      <c r="AA101" s="93"/>
      <c r="AB101" s="99"/>
      <c r="AC101" s="54"/>
      <c r="AD101" s="54"/>
      <c r="AE101" s="54"/>
      <c r="AF101" s="54"/>
      <c r="AG101" s="54"/>
      <c r="AH101" s="54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113"/>
      <c r="BB101" s="110"/>
      <c r="BC101" s="110"/>
      <c r="BD101" s="110"/>
      <c r="BE101" s="110"/>
      <c r="BF101" s="110"/>
      <c r="BG101" s="110"/>
      <c r="BH101" s="110"/>
      <c r="BI101" s="113"/>
      <c r="BJ101" s="110"/>
      <c r="BK101" s="110"/>
      <c r="BL101" s="110"/>
      <c r="BM101" s="110"/>
      <c r="BN101" s="113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3"/>
      <c r="BY101" s="110"/>
      <c r="BZ101" s="110"/>
      <c r="CA101" s="110"/>
      <c r="CB101" s="110"/>
      <c r="CC101" s="110"/>
      <c r="CD101" s="110"/>
      <c r="CE101" s="110"/>
      <c r="CF101" s="110"/>
      <c r="CG101" s="113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66"/>
      <c r="DA101" s="70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56"/>
      <c r="DR101" s="57"/>
      <c r="DS101" s="58"/>
      <c r="DT101" s="58"/>
      <c r="DU101" s="58"/>
      <c r="DV101" s="58"/>
      <c r="DW101" s="58"/>
      <c r="DX101" s="58"/>
      <c r="DY101" s="58"/>
      <c r="DZ101" s="59"/>
      <c r="EA101" s="60"/>
      <c r="EB101" s="61"/>
      <c r="EC101" s="62"/>
      <c r="ED101" s="2"/>
      <c r="EE101" s="63"/>
      <c r="EF101" s="63"/>
      <c r="EG101" s="63"/>
      <c r="EH101" s="63"/>
      <c r="EI101" s="63"/>
      <c r="EJ101" s="63"/>
      <c r="EK101" s="63"/>
      <c r="EL101" s="63"/>
      <c r="EM101" s="63"/>
      <c r="EN101" s="63"/>
      <c r="EO101" s="63"/>
      <c r="EP101" s="63"/>
      <c r="EQ101" s="63"/>
      <c r="ER101" s="63"/>
      <c r="ES101" s="63"/>
      <c r="ET101" s="63"/>
      <c r="EU101" s="80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5"/>
      <c r="FH101" s="84"/>
      <c r="FI101" s="64"/>
      <c r="FJ101" s="8"/>
      <c r="FK101" s="48"/>
      <c r="FL101" s="48"/>
      <c r="FM101" s="48"/>
      <c r="FN101" s="48"/>
      <c r="FO101" s="48"/>
      <c r="FP101" s="48"/>
      <c r="FQ101" s="48"/>
      <c r="FR101" s="48"/>
      <c r="FS101" s="48"/>
      <c r="FT101" s="48"/>
      <c r="FU101" s="48"/>
      <c r="FV101" s="48"/>
      <c r="FW101" s="48"/>
      <c r="FX101" s="48"/>
      <c r="FY101" s="48"/>
      <c r="FZ101" s="48"/>
      <c r="GA101" s="48"/>
      <c r="GB101" s="48"/>
      <c r="GC101" s="48"/>
      <c r="GD101" s="48"/>
      <c r="GE101" s="48"/>
      <c r="GF101" s="48"/>
      <c r="GG101" s="48"/>
      <c r="GH101" s="48"/>
      <c r="GI101" s="48"/>
      <c r="GJ101" s="8"/>
      <c r="GK101" s="9">
        <f t="shared" si="62"/>
        <v>0</v>
      </c>
      <c r="GL101" s="9">
        <f t="shared" si="63"/>
        <v>0</v>
      </c>
      <c r="GM101" s="9">
        <f t="shared" si="64"/>
        <v>0</v>
      </c>
      <c r="GN101" s="9">
        <f t="shared" si="65"/>
        <v>0</v>
      </c>
      <c r="GO101" s="9">
        <f t="shared" si="66"/>
        <v>0</v>
      </c>
      <c r="GP101" s="9">
        <f t="shared" si="67"/>
        <v>0</v>
      </c>
      <c r="GQ101" s="9">
        <f t="shared" si="68"/>
        <v>0</v>
      </c>
      <c r="GR101" s="9">
        <f t="shared" si="69"/>
        <v>0</v>
      </c>
      <c r="GS101" s="9">
        <f t="shared" si="70"/>
        <v>0</v>
      </c>
      <c r="GT101" s="9">
        <f t="shared" si="71"/>
        <v>0</v>
      </c>
      <c r="GU101" s="9">
        <f t="shared" si="72"/>
        <v>0</v>
      </c>
      <c r="GV101" s="9">
        <f t="shared" si="73"/>
        <v>0</v>
      </c>
      <c r="GW101" s="9">
        <f t="shared" si="74"/>
        <v>0</v>
      </c>
      <c r="GX101" s="77">
        <f t="shared" si="75"/>
        <v>0</v>
      </c>
      <c r="GY101" s="77">
        <f t="shared" si="76"/>
        <v>0</v>
      </c>
      <c r="GZ101" s="77">
        <f t="shared" si="77"/>
        <v>0</v>
      </c>
    </row>
    <row r="102" spans="1:208">
      <c r="A102" s="48"/>
      <c r="B102" s="49"/>
      <c r="C102" s="50"/>
      <c r="D102" s="51"/>
      <c r="E102" s="50"/>
      <c r="F102" s="52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90"/>
      <c r="V102" s="91"/>
      <c r="W102" s="92"/>
      <c r="X102" s="92"/>
      <c r="Y102" s="92"/>
      <c r="Z102" s="91"/>
      <c r="AA102" s="93"/>
      <c r="AB102" s="99"/>
      <c r="AC102" s="54"/>
      <c r="AD102" s="54"/>
      <c r="AE102" s="54"/>
      <c r="AF102" s="54"/>
      <c r="AG102" s="54"/>
      <c r="AH102" s="54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113"/>
      <c r="BB102" s="110"/>
      <c r="BC102" s="110"/>
      <c r="BD102" s="110"/>
      <c r="BE102" s="110"/>
      <c r="BF102" s="110"/>
      <c r="BG102" s="110"/>
      <c r="BH102" s="110"/>
      <c r="BI102" s="113"/>
      <c r="BJ102" s="110"/>
      <c r="BK102" s="110"/>
      <c r="BL102" s="110"/>
      <c r="BM102" s="110"/>
      <c r="BN102" s="113"/>
      <c r="BO102" s="110"/>
      <c r="BP102" s="110"/>
      <c r="BQ102" s="110"/>
      <c r="BR102" s="110"/>
      <c r="BS102" s="110"/>
      <c r="BT102" s="110"/>
      <c r="BU102" s="110"/>
      <c r="BV102" s="110"/>
      <c r="BW102" s="110"/>
      <c r="BX102" s="113"/>
      <c r="BY102" s="110"/>
      <c r="BZ102" s="110"/>
      <c r="CA102" s="110"/>
      <c r="CB102" s="110"/>
      <c r="CC102" s="110"/>
      <c r="CD102" s="110"/>
      <c r="CE102" s="110"/>
      <c r="CF102" s="110"/>
      <c r="CG102" s="113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66"/>
      <c r="DA102" s="70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56"/>
      <c r="DR102" s="57"/>
      <c r="DS102" s="58"/>
      <c r="DT102" s="58"/>
      <c r="DU102" s="58"/>
      <c r="DV102" s="58"/>
      <c r="DW102" s="58"/>
      <c r="DX102" s="58"/>
      <c r="DY102" s="58"/>
      <c r="DZ102" s="59"/>
      <c r="EA102" s="60"/>
      <c r="EB102" s="61"/>
      <c r="EC102" s="62"/>
      <c r="ED102" s="2"/>
      <c r="EE102" s="63"/>
      <c r="EF102" s="63"/>
      <c r="EG102" s="63"/>
      <c r="EH102" s="63"/>
      <c r="EI102" s="63"/>
      <c r="EJ102" s="63"/>
      <c r="EK102" s="63"/>
      <c r="EL102" s="63"/>
      <c r="EM102" s="63"/>
      <c r="EN102" s="63"/>
      <c r="EO102" s="63"/>
      <c r="EP102" s="63"/>
      <c r="EQ102" s="63"/>
      <c r="ER102" s="63"/>
      <c r="ES102" s="63"/>
      <c r="ET102" s="63"/>
      <c r="EU102" s="80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5"/>
      <c r="FH102" s="84"/>
      <c r="FI102" s="64"/>
      <c r="FJ102" s="8"/>
      <c r="FK102" s="48"/>
      <c r="FL102" s="48"/>
      <c r="FM102" s="48"/>
      <c r="FN102" s="48"/>
      <c r="FO102" s="48"/>
      <c r="FP102" s="48"/>
      <c r="FQ102" s="48"/>
      <c r="FR102" s="48"/>
      <c r="FS102" s="48"/>
      <c r="FT102" s="48"/>
      <c r="FU102" s="48"/>
      <c r="FV102" s="48"/>
      <c r="FW102" s="48"/>
      <c r="FX102" s="48"/>
      <c r="FY102" s="48"/>
      <c r="FZ102" s="48"/>
      <c r="GA102" s="48"/>
      <c r="GB102" s="48"/>
      <c r="GC102" s="48"/>
      <c r="GD102" s="48"/>
      <c r="GE102" s="48"/>
      <c r="GF102" s="48"/>
      <c r="GG102" s="48"/>
      <c r="GH102" s="48"/>
      <c r="GI102" s="48"/>
      <c r="GJ102" s="8"/>
      <c r="GK102" s="9">
        <f t="shared" si="62"/>
        <v>0</v>
      </c>
      <c r="GL102" s="9">
        <f t="shared" si="63"/>
        <v>0</v>
      </c>
      <c r="GM102" s="9">
        <f t="shared" si="64"/>
        <v>0</v>
      </c>
      <c r="GN102" s="9">
        <f t="shared" si="65"/>
        <v>0</v>
      </c>
      <c r="GO102" s="9">
        <f t="shared" si="66"/>
        <v>0</v>
      </c>
      <c r="GP102" s="9">
        <f t="shared" si="67"/>
        <v>0</v>
      </c>
      <c r="GQ102" s="9">
        <f t="shared" si="68"/>
        <v>0</v>
      </c>
      <c r="GR102" s="9">
        <f t="shared" si="69"/>
        <v>0</v>
      </c>
      <c r="GS102" s="9">
        <f t="shared" si="70"/>
        <v>0</v>
      </c>
      <c r="GT102" s="9">
        <f t="shared" si="71"/>
        <v>0</v>
      </c>
      <c r="GU102" s="9">
        <f t="shared" si="72"/>
        <v>0</v>
      </c>
      <c r="GV102" s="9">
        <f t="shared" si="73"/>
        <v>0</v>
      </c>
      <c r="GW102" s="9">
        <f t="shared" si="74"/>
        <v>0</v>
      </c>
      <c r="GX102" s="77">
        <f t="shared" si="75"/>
        <v>0</v>
      </c>
      <c r="GY102" s="77">
        <f t="shared" si="76"/>
        <v>0</v>
      </c>
      <c r="GZ102" s="77">
        <f t="shared" si="77"/>
        <v>0</v>
      </c>
    </row>
    <row r="103" spans="1:208">
      <c r="A103" s="48"/>
      <c r="B103" s="49"/>
      <c r="C103" s="50"/>
      <c r="D103" s="51"/>
      <c r="E103" s="50"/>
      <c r="F103" s="52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90"/>
      <c r="V103" s="91"/>
      <c r="W103" s="92"/>
      <c r="X103" s="92"/>
      <c r="Y103" s="92"/>
      <c r="Z103" s="91"/>
      <c r="AA103" s="93"/>
      <c r="AB103" s="99"/>
      <c r="AC103" s="54"/>
      <c r="AD103" s="54"/>
      <c r="AE103" s="54"/>
      <c r="AF103" s="54"/>
      <c r="AG103" s="54"/>
      <c r="AH103" s="54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113"/>
      <c r="BB103" s="110"/>
      <c r="BC103" s="110"/>
      <c r="BD103" s="110"/>
      <c r="BE103" s="110"/>
      <c r="BF103" s="110"/>
      <c r="BG103" s="110"/>
      <c r="BH103" s="110"/>
      <c r="BI103" s="113"/>
      <c r="BJ103" s="110"/>
      <c r="BK103" s="110"/>
      <c r="BL103" s="110"/>
      <c r="BM103" s="110"/>
      <c r="BN103" s="113"/>
      <c r="BO103" s="110"/>
      <c r="BP103" s="110"/>
      <c r="BQ103" s="110"/>
      <c r="BR103" s="110"/>
      <c r="BS103" s="110"/>
      <c r="BT103" s="110"/>
      <c r="BU103" s="110"/>
      <c r="BV103" s="110"/>
      <c r="BW103" s="110"/>
      <c r="BX103" s="113"/>
      <c r="BY103" s="110"/>
      <c r="BZ103" s="110"/>
      <c r="CA103" s="110"/>
      <c r="CB103" s="110"/>
      <c r="CC103" s="110"/>
      <c r="CD103" s="110"/>
      <c r="CE103" s="110"/>
      <c r="CF103" s="110"/>
      <c r="CG103" s="113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66"/>
      <c r="DA103" s="70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56"/>
      <c r="DR103" s="57"/>
      <c r="DS103" s="58"/>
      <c r="DT103" s="58"/>
      <c r="DU103" s="58"/>
      <c r="DV103" s="58"/>
      <c r="DW103" s="58"/>
      <c r="DX103" s="58"/>
      <c r="DY103" s="58"/>
      <c r="DZ103" s="59"/>
      <c r="EA103" s="60"/>
      <c r="EB103" s="61"/>
      <c r="EC103" s="62"/>
      <c r="ED103" s="2"/>
      <c r="EE103" s="63"/>
      <c r="EF103" s="63"/>
      <c r="EG103" s="63"/>
      <c r="EH103" s="63"/>
      <c r="EI103" s="63"/>
      <c r="EJ103" s="63"/>
      <c r="EK103" s="63"/>
      <c r="EL103" s="63"/>
      <c r="EM103" s="63"/>
      <c r="EN103" s="63"/>
      <c r="EO103" s="63"/>
      <c r="EP103" s="63"/>
      <c r="EQ103" s="63"/>
      <c r="ER103" s="63"/>
      <c r="ES103" s="63"/>
      <c r="ET103" s="63"/>
      <c r="EU103" s="80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5"/>
      <c r="FH103" s="84"/>
      <c r="FI103" s="64"/>
      <c r="FJ103" s="8"/>
      <c r="FK103" s="48"/>
      <c r="FL103" s="48"/>
      <c r="FM103" s="48"/>
      <c r="FN103" s="48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8"/>
      <c r="GG103" s="48"/>
      <c r="GH103" s="48"/>
      <c r="GI103" s="48"/>
      <c r="GJ103" s="8"/>
      <c r="GK103" s="9">
        <f t="shared" si="62"/>
        <v>0</v>
      </c>
      <c r="GL103" s="9">
        <f t="shared" si="63"/>
        <v>0</v>
      </c>
      <c r="GM103" s="9">
        <f t="shared" si="64"/>
        <v>0</v>
      </c>
      <c r="GN103" s="9">
        <f t="shared" si="65"/>
        <v>0</v>
      </c>
      <c r="GO103" s="9">
        <f t="shared" si="66"/>
        <v>0</v>
      </c>
      <c r="GP103" s="9">
        <f t="shared" si="67"/>
        <v>0</v>
      </c>
      <c r="GQ103" s="9">
        <f t="shared" si="68"/>
        <v>0</v>
      </c>
      <c r="GR103" s="9">
        <f t="shared" si="69"/>
        <v>0</v>
      </c>
      <c r="GS103" s="9">
        <f t="shared" si="70"/>
        <v>0</v>
      </c>
      <c r="GT103" s="9">
        <f t="shared" si="71"/>
        <v>0</v>
      </c>
      <c r="GU103" s="9">
        <f t="shared" si="72"/>
        <v>0</v>
      </c>
      <c r="GV103" s="9">
        <f t="shared" si="73"/>
        <v>0</v>
      </c>
      <c r="GW103" s="9">
        <f t="shared" si="74"/>
        <v>0</v>
      </c>
      <c r="GX103" s="77">
        <f t="shared" si="75"/>
        <v>0</v>
      </c>
      <c r="GY103" s="77">
        <f t="shared" si="76"/>
        <v>0</v>
      </c>
      <c r="GZ103" s="77">
        <f t="shared" si="77"/>
        <v>0</v>
      </c>
    </row>
    <row r="104" spans="1:208">
      <c r="A104" s="48"/>
      <c r="B104" s="49"/>
      <c r="C104" s="50"/>
      <c r="D104" s="51"/>
      <c r="E104" s="50"/>
      <c r="F104" s="52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90"/>
      <c r="V104" s="91"/>
      <c r="W104" s="92"/>
      <c r="X104" s="92"/>
      <c r="Y104" s="92"/>
      <c r="Z104" s="91"/>
      <c r="AA104" s="93"/>
      <c r="AB104" s="99"/>
      <c r="AC104" s="54"/>
      <c r="AD104" s="54"/>
      <c r="AE104" s="54"/>
      <c r="AF104" s="54"/>
      <c r="AG104" s="54"/>
      <c r="AH104" s="54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113"/>
      <c r="BB104" s="110"/>
      <c r="BC104" s="110"/>
      <c r="BD104" s="110"/>
      <c r="BE104" s="110"/>
      <c r="BF104" s="110"/>
      <c r="BG104" s="110"/>
      <c r="BH104" s="110"/>
      <c r="BI104" s="113"/>
      <c r="BJ104" s="110"/>
      <c r="BK104" s="110"/>
      <c r="BL104" s="110"/>
      <c r="BM104" s="110"/>
      <c r="BN104" s="113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3"/>
      <c r="BY104" s="110"/>
      <c r="BZ104" s="110"/>
      <c r="CA104" s="110"/>
      <c r="CB104" s="110"/>
      <c r="CC104" s="110"/>
      <c r="CD104" s="110"/>
      <c r="CE104" s="110"/>
      <c r="CF104" s="110"/>
      <c r="CG104" s="113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66"/>
      <c r="DA104" s="70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56"/>
      <c r="DR104" s="57"/>
      <c r="DS104" s="58"/>
      <c r="DT104" s="58"/>
      <c r="DU104" s="58"/>
      <c r="DV104" s="58"/>
      <c r="DW104" s="58"/>
      <c r="DX104" s="58"/>
      <c r="DY104" s="58"/>
      <c r="DZ104" s="59"/>
      <c r="EA104" s="60"/>
      <c r="EB104" s="61"/>
      <c r="EC104" s="62"/>
      <c r="ED104" s="2"/>
      <c r="EE104" s="63"/>
      <c r="EF104" s="63"/>
      <c r="EG104" s="63"/>
      <c r="EH104" s="63"/>
      <c r="EI104" s="63"/>
      <c r="EJ104" s="63"/>
      <c r="EK104" s="63"/>
      <c r="EL104" s="63"/>
      <c r="EM104" s="63"/>
      <c r="EN104" s="63"/>
      <c r="EO104" s="63"/>
      <c r="EP104" s="63"/>
      <c r="EQ104" s="63"/>
      <c r="ER104" s="63"/>
      <c r="ES104" s="63"/>
      <c r="ET104" s="63"/>
      <c r="EU104" s="80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5"/>
      <c r="FH104" s="84"/>
      <c r="FI104" s="64"/>
      <c r="FJ104" s="8"/>
      <c r="FK104" s="48"/>
      <c r="FL104" s="48"/>
      <c r="FM104" s="48"/>
      <c r="FN104" s="48"/>
      <c r="FO104" s="48"/>
      <c r="FP104" s="48"/>
      <c r="FQ104" s="48"/>
      <c r="FR104" s="48"/>
      <c r="FS104" s="48"/>
      <c r="FT104" s="48"/>
      <c r="FU104" s="48"/>
      <c r="FV104" s="48"/>
      <c r="FW104" s="48"/>
      <c r="FX104" s="48"/>
      <c r="FY104" s="48"/>
      <c r="FZ104" s="48"/>
      <c r="GA104" s="48"/>
      <c r="GB104" s="48"/>
      <c r="GC104" s="48"/>
      <c r="GD104" s="48"/>
      <c r="GE104" s="48"/>
      <c r="GF104" s="48"/>
      <c r="GG104" s="48"/>
      <c r="GH104" s="48"/>
      <c r="GI104" s="48"/>
      <c r="GJ104" s="8"/>
      <c r="GK104" s="9">
        <f t="shared" si="62"/>
        <v>0</v>
      </c>
      <c r="GL104" s="9">
        <f t="shared" si="63"/>
        <v>0</v>
      </c>
      <c r="GM104" s="9">
        <f t="shared" si="64"/>
        <v>0</v>
      </c>
      <c r="GN104" s="9">
        <f t="shared" si="65"/>
        <v>0</v>
      </c>
      <c r="GO104" s="9">
        <f t="shared" si="66"/>
        <v>0</v>
      </c>
      <c r="GP104" s="9">
        <f t="shared" si="67"/>
        <v>0</v>
      </c>
      <c r="GQ104" s="9">
        <f t="shared" si="68"/>
        <v>0</v>
      </c>
      <c r="GR104" s="9">
        <f t="shared" si="69"/>
        <v>0</v>
      </c>
      <c r="GS104" s="9">
        <f t="shared" si="70"/>
        <v>0</v>
      </c>
      <c r="GT104" s="9">
        <f t="shared" si="71"/>
        <v>0</v>
      </c>
      <c r="GU104" s="9">
        <f t="shared" si="72"/>
        <v>0</v>
      </c>
      <c r="GV104" s="9">
        <f t="shared" si="73"/>
        <v>0</v>
      </c>
      <c r="GW104" s="9">
        <f t="shared" si="74"/>
        <v>0</v>
      </c>
      <c r="GX104" s="77">
        <f t="shared" si="75"/>
        <v>0</v>
      </c>
      <c r="GY104" s="77">
        <f t="shared" si="76"/>
        <v>0</v>
      </c>
      <c r="GZ104" s="77">
        <f t="shared" si="77"/>
        <v>0</v>
      </c>
    </row>
    <row r="105" spans="1:208">
      <c r="A105" s="48"/>
      <c r="B105" s="49"/>
      <c r="C105" s="50"/>
      <c r="D105" s="51"/>
      <c r="E105" s="50"/>
      <c r="F105" s="52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90"/>
      <c r="V105" s="91"/>
      <c r="W105" s="92"/>
      <c r="X105" s="92"/>
      <c r="Y105" s="92"/>
      <c r="Z105" s="91"/>
      <c r="AA105" s="93"/>
      <c r="AB105" s="99"/>
      <c r="AC105" s="54"/>
      <c r="AD105" s="54"/>
      <c r="AE105" s="54"/>
      <c r="AF105" s="54"/>
      <c r="AG105" s="54"/>
      <c r="AH105" s="54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113"/>
      <c r="BB105" s="110"/>
      <c r="BC105" s="110"/>
      <c r="BD105" s="110"/>
      <c r="BE105" s="110"/>
      <c r="BF105" s="110"/>
      <c r="BG105" s="110"/>
      <c r="BH105" s="110"/>
      <c r="BI105" s="113"/>
      <c r="BJ105" s="110"/>
      <c r="BK105" s="110"/>
      <c r="BL105" s="110"/>
      <c r="BM105" s="110"/>
      <c r="BN105" s="113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3"/>
      <c r="BY105" s="110"/>
      <c r="BZ105" s="110"/>
      <c r="CA105" s="110"/>
      <c r="CB105" s="110"/>
      <c r="CC105" s="110"/>
      <c r="CD105" s="110"/>
      <c r="CE105" s="110"/>
      <c r="CF105" s="110"/>
      <c r="CG105" s="113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66"/>
      <c r="DA105" s="70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56"/>
      <c r="DR105" s="57"/>
      <c r="DS105" s="58"/>
      <c r="DT105" s="58"/>
      <c r="DU105" s="58"/>
      <c r="DV105" s="58"/>
      <c r="DW105" s="58"/>
      <c r="DX105" s="58"/>
      <c r="DY105" s="58"/>
      <c r="DZ105" s="59"/>
      <c r="EA105" s="60"/>
      <c r="EB105" s="61"/>
      <c r="EC105" s="62"/>
      <c r="ED105" s="2"/>
      <c r="EE105" s="63"/>
      <c r="EF105" s="63"/>
      <c r="EG105" s="63"/>
      <c r="EH105" s="63"/>
      <c r="EI105" s="63"/>
      <c r="EJ105" s="63"/>
      <c r="EK105" s="63"/>
      <c r="EL105" s="63"/>
      <c r="EM105" s="63"/>
      <c r="EN105" s="63"/>
      <c r="EO105" s="63"/>
      <c r="EP105" s="63"/>
      <c r="EQ105" s="63"/>
      <c r="ER105" s="63"/>
      <c r="ES105" s="63"/>
      <c r="ET105" s="63"/>
      <c r="EU105" s="80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5"/>
      <c r="FH105" s="84"/>
      <c r="FI105" s="64"/>
      <c r="FJ105" s="8"/>
      <c r="FK105" s="48"/>
      <c r="FL105" s="48"/>
      <c r="FM105" s="48"/>
      <c r="FN105" s="48"/>
      <c r="FO105" s="48"/>
      <c r="FP105" s="48"/>
      <c r="FQ105" s="48"/>
      <c r="FR105" s="48"/>
      <c r="FS105" s="48"/>
      <c r="FT105" s="48"/>
      <c r="FU105" s="48"/>
      <c r="FV105" s="48"/>
      <c r="FW105" s="48"/>
      <c r="FX105" s="48"/>
      <c r="FY105" s="48"/>
      <c r="FZ105" s="48"/>
      <c r="GA105" s="48"/>
      <c r="GB105" s="48"/>
      <c r="GC105" s="48"/>
      <c r="GD105" s="48"/>
      <c r="GE105" s="48"/>
      <c r="GF105" s="48"/>
      <c r="GG105" s="48"/>
      <c r="GH105" s="48"/>
      <c r="GI105" s="48"/>
      <c r="GJ105" s="8"/>
      <c r="GK105" s="9">
        <f t="shared" si="62"/>
        <v>0</v>
      </c>
      <c r="GL105" s="9">
        <f t="shared" si="63"/>
        <v>0</v>
      </c>
      <c r="GM105" s="9">
        <f t="shared" si="64"/>
        <v>0</v>
      </c>
      <c r="GN105" s="9">
        <f t="shared" si="65"/>
        <v>0</v>
      </c>
      <c r="GO105" s="9">
        <f t="shared" si="66"/>
        <v>0</v>
      </c>
      <c r="GP105" s="9">
        <f t="shared" si="67"/>
        <v>0</v>
      </c>
      <c r="GQ105" s="9">
        <f t="shared" si="68"/>
        <v>0</v>
      </c>
      <c r="GR105" s="9">
        <f t="shared" si="69"/>
        <v>0</v>
      </c>
      <c r="GS105" s="9">
        <f t="shared" si="70"/>
        <v>0</v>
      </c>
      <c r="GT105" s="9">
        <f t="shared" si="71"/>
        <v>0</v>
      </c>
      <c r="GU105" s="9">
        <f t="shared" si="72"/>
        <v>0</v>
      </c>
      <c r="GV105" s="9">
        <f t="shared" si="73"/>
        <v>0</v>
      </c>
      <c r="GW105" s="9">
        <f t="shared" si="74"/>
        <v>0</v>
      </c>
      <c r="GX105" s="77">
        <f t="shared" si="75"/>
        <v>0</v>
      </c>
      <c r="GY105" s="77">
        <f t="shared" si="76"/>
        <v>0</v>
      </c>
      <c r="GZ105" s="77">
        <f t="shared" si="77"/>
        <v>0</v>
      </c>
    </row>
    <row r="106" spans="1:208">
      <c r="A106" s="48"/>
      <c r="B106" s="49"/>
      <c r="C106" s="50"/>
      <c r="D106" s="51"/>
      <c r="E106" s="50"/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90"/>
      <c r="V106" s="91"/>
      <c r="W106" s="92"/>
      <c r="X106" s="92"/>
      <c r="Y106" s="92"/>
      <c r="Z106" s="91"/>
      <c r="AA106" s="93"/>
      <c r="AB106" s="99"/>
      <c r="AC106" s="54"/>
      <c r="AD106" s="54"/>
      <c r="AE106" s="54"/>
      <c r="AF106" s="54"/>
      <c r="AG106" s="54"/>
      <c r="AH106" s="54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113"/>
      <c r="BB106" s="110"/>
      <c r="BC106" s="110"/>
      <c r="BD106" s="110"/>
      <c r="BE106" s="110"/>
      <c r="BF106" s="110"/>
      <c r="BG106" s="110"/>
      <c r="BH106" s="110"/>
      <c r="BI106" s="113"/>
      <c r="BJ106" s="110"/>
      <c r="BK106" s="110"/>
      <c r="BL106" s="110"/>
      <c r="BM106" s="110"/>
      <c r="BN106" s="113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3"/>
      <c r="BY106" s="110"/>
      <c r="BZ106" s="110"/>
      <c r="CA106" s="110"/>
      <c r="CB106" s="110"/>
      <c r="CC106" s="110"/>
      <c r="CD106" s="110"/>
      <c r="CE106" s="110"/>
      <c r="CF106" s="110"/>
      <c r="CG106" s="113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66"/>
      <c r="DA106" s="70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56"/>
      <c r="DR106" s="57"/>
      <c r="DS106" s="58"/>
      <c r="DT106" s="58"/>
      <c r="DU106" s="58"/>
      <c r="DV106" s="58"/>
      <c r="DW106" s="58"/>
      <c r="DX106" s="58"/>
      <c r="DY106" s="58"/>
      <c r="DZ106" s="59"/>
      <c r="EA106" s="60"/>
      <c r="EB106" s="61"/>
      <c r="EC106" s="62"/>
      <c r="ED106" s="2"/>
      <c r="EE106" s="63"/>
      <c r="EF106" s="63"/>
      <c r="EG106" s="63"/>
      <c r="EH106" s="63"/>
      <c r="EI106" s="63"/>
      <c r="EJ106" s="63"/>
      <c r="EK106" s="63"/>
      <c r="EL106" s="63"/>
      <c r="EM106" s="63"/>
      <c r="EN106" s="63"/>
      <c r="EO106" s="63"/>
      <c r="EP106" s="63"/>
      <c r="EQ106" s="63"/>
      <c r="ER106" s="63"/>
      <c r="ES106" s="63"/>
      <c r="ET106" s="63"/>
      <c r="EU106" s="80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5"/>
      <c r="FH106" s="84"/>
      <c r="FI106" s="64"/>
      <c r="FJ106" s="8"/>
      <c r="FK106" s="48"/>
      <c r="FL106" s="48"/>
      <c r="FM106" s="48"/>
      <c r="FN106" s="48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8"/>
      <c r="GG106" s="48"/>
      <c r="GH106" s="48"/>
      <c r="GI106" s="48"/>
      <c r="GJ106" s="8"/>
      <c r="GK106" s="9">
        <f t="shared" si="62"/>
        <v>0</v>
      </c>
      <c r="GL106" s="9">
        <f t="shared" si="63"/>
        <v>0</v>
      </c>
      <c r="GM106" s="9">
        <f t="shared" si="64"/>
        <v>0</v>
      </c>
      <c r="GN106" s="9">
        <f t="shared" si="65"/>
        <v>0</v>
      </c>
      <c r="GO106" s="9">
        <f t="shared" si="66"/>
        <v>0</v>
      </c>
      <c r="GP106" s="9">
        <f t="shared" si="67"/>
        <v>0</v>
      </c>
      <c r="GQ106" s="9">
        <f t="shared" si="68"/>
        <v>0</v>
      </c>
      <c r="GR106" s="9">
        <f t="shared" si="69"/>
        <v>0</v>
      </c>
      <c r="GS106" s="9">
        <f t="shared" si="70"/>
        <v>0</v>
      </c>
      <c r="GT106" s="9">
        <f t="shared" si="71"/>
        <v>0</v>
      </c>
      <c r="GU106" s="9">
        <f t="shared" si="72"/>
        <v>0</v>
      </c>
      <c r="GV106" s="9">
        <f t="shared" si="73"/>
        <v>0</v>
      </c>
      <c r="GW106" s="9">
        <f t="shared" si="74"/>
        <v>0</v>
      </c>
      <c r="GX106" s="77">
        <f t="shared" si="75"/>
        <v>0</v>
      </c>
      <c r="GY106" s="77">
        <f t="shared" si="76"/>
        <v>0</v>
      </c>
      <c r="GZ106" s="77">
        <f t="shared" si="77"/>
        <v>0</v>
      </c>
    </row>
    <row r="107" spans="1:208">
      <c r="A107" s="48"/>
      <c r="B107" s="49"/>
      <c r="C107" s="50"/>
      <c r="D107" s="51"/>
      <c r="E107" s="50"/>
      <c r="F107" s="52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90"/>
      <c r="V107" s="91"/>
      <c r="W107" s="92"/>
      <c r="X107" s="92"/>
      <c r="Y107" s="92"/>
      <c r="Z107" s="91"/>
      <c r="AA107" s="93"/>
      <c r="AB107" s="99"/>
      <c r="AC107" s="54"/>
      <c r="AD107" s="54"/>
      <c r="AE107" s="54"/>
      <c r="AF107" s="54"/>
      <c r="AG107" s="54"/>
      <c r="AH107" s="54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113"/>
      <c r="BB107" s="110"/>
      <c r="BC107" s="110"/>
      <c r="BD107" s="110"/>
      <c r="BE107" s="110"/>
      <c r="BF107" s="110"/>
      <c r="BG107" s="110"/>
      <c r="BH107" s="110"/>
      <c r="BI107" s="113"/>
      <c r="BJ107" s="110"/>
      <c r="BK107" s="110"/>
      <c r="BL107" s="110"/>
      <c r="BM107" s="110"/>
      <c r="BN107" s="113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3"/>
      <c r="BY107" s="110"/>
      <c r="BZ107" s="110"/>
      <c r="CA107" s="110"/>
      <c r="CB107" s="110"/>
      <c r="CC107" s="110"/>
      <c r="CD107" s="110"/>
      <c r="CE107" s="110"/>
      <c r="CF107" s="110"/>
      <c r="CG107" s="113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66"/>
      <c r="DA107" s="70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56"/>
      <c r="DR107" s="57"/>
      <c r="DS107" s="58"/>
      <c r="DT107" s="58"/>
      <c r="DU107" s="58"/>
      <c r="DV107" s="58"/>
      <c r="DW107" s="58"/>
      <c r="DX107" s="58"/>
      <c r="DY107" s="58"/>
      <c r="DZ107" s="59"/>
      <c r="EA107" s="60"/>
      <c r="EB107" s="61"/>
      <c r="EC107" s="62"/>
      <c r="ED107" s="2"/>
      <c r="EE107" s="63"/>
      <c r="EF107" s="63"/>
      <c r="EG107" s="63"/>
      <c r="EH107" s="63"/>
      <c r="EI107" s="63"/>
      <c r="EJ107" s="63"/>
      <c r="EK107" s="63"/>
      <c r="EL107" s="63"/>
      <c r="EM107" s="63"/>
      <c r="EN107" s="63"/>
      <c r="EO107" s="63"/>
      <c r="EP107" s="63"/>
      <c r="EQ107" s="63"/>
      <c r="ER107" s="63"/>
      <c r="ES107" s="63"/>
      <c r="ET107" s="63"/>
      <c r="EU107" s="80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5"/>
      <c r="FH107" s="84"/>
      <c r="FI107" s="64"/>
      <c r="FJ107" s="8"/>
      <c r="FK107" s="48"/>
      <c r="FL107" s="48"/>
      <c r="FM107" s="48"/>
      <c r="FN107" s="48"/>
      <c r="FO107" s="48"/>
      <c r="FP107" s="48"/>
      <c r="FQ107" s="48"/>
      <c r="FR107" s="48"/>
      <c r="FS107" s="48"/>
      <c r="FT107" s="48"/>
      <c r="FU107" s="48"/>
      <c r="FV107" s="48"/>
      <c r="FW107" s="48"/>
      <c r="FX107" s="48"/>
      <c r="FY107" s="48"/>
      <c r="FZ107" s="48"/>
      <c r="GA107" s="48"/>
      <c r="GB107" s="48"/>
      <c r="GC107" s="48"/>
      <c r="GD107" s="48"/>
      <c r="GE107" s="48"/>
      <c r="GF107" s="48"/>
      <c r="GG107" s="48"/>
      <c r="GH107" s="48"/>
      <c r="GI107" s="48"/>
      <c r="GJ107" s="8"/>
      <c r="GK107" s="9">
        <f t="shared" si="62"/>
        <v>0</v>
      </c>
      <c r="GL107" s="9">
        <f t="shared" si="63"/>
        <v>0</v>
      </c>
      <c r="GM107" s="9">
        <f t="shared" si="64"/>
        <v>0</v>
      </c>
      <c r="GN107" s="9">
        <f t="shared" si="65"/>
        <v>0</v>
      </c>
      <c r="GO107" s="9">
        <f t="shared" si="66"/>
        <v>0</v>
      </c>
      <c r="GP107" s="9">
        <f t="shared" si="67"/>
        <v>0</v>
      </c>
      <c r="GQ107" s="9">
        <f t="shared" si="68"/>
        <v>0</v>
      </c>
      <c r="GR107" s="9">
        <f t="shared" si="69"/>
        <v>0</v>
      </c>
      <c r="GS107" s="9">
        <f t="shared" si="70"/>
        <v>0</v>
      </c>
      <c r="GT107" s="9">
        <f t="shared" si="71"/>
        <v>0</v>
      </c>
      <c r="GU107" s="9">
        <f t="shared" si="72"/>
        <v>0</v>
      </c>
      <c r="GV107" s="9">
        <f t="shared" si="73"/>
        <v>0</v>
      </c>
      <c r="GW107" s="9">
        <f t="shared" si="74"/>
        <v>0</v>
      </c>
      <c r="GX107" s="77">
        <f t="shared" si="75"/>
        <v>0</v>
      </c>
      <c r="GY107" s="77">
        <f t="shared" si="76"/>
        <v>0</v>
      </c>
      <c r="GZ107" s="77">
        <f t="shared" si="77"/>
        <v>0</v>
      </c>
    </row>
    <row r="108" spans="1:208">
      <c r="A108" s="48"/>
      <c r="B108" s="49"/>
      <c r="C108" s="50"/>
      <c r="D108" s="51"/>
      <c r="E108" s="50"/>
      <c r="F108" s="52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90"/>
      <c r="V108" s="91"/>
      <c r="W108" s="92"/>
      <c r="X108" s="92"/>
      <c r="Y108" s="92"/>
      <c r="Z108" s="91"/>
      <c r="AA108" s="93"/>
      <c r="AB108" s="99"/>
      <c r="AC108" s="54"/>
      <c r="AD108" s="54"/>
      <c r="AE108" s="54"/>
      <c r="AF108" s="54"/>
      <c r="AG108" s="54"/>
      <c r="AH108" s="54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113"/>
      <c r="BB108" s="110"/>
      <c r="BC108" s="110"/>
      <c r="BD108" s="110"/>
      <c r="BE108" s="110"/>
      <c r="BF108" s="110"/>
      <c r="BG108" s="110"/>
      <c r="BH108" s="110"/>
      <c r="BI108" s="113"/>
      <c r="BJ108" s="110"/>
      <c r="BK108" s="110"/>
      <c r="BL108" s="110"/>
      <c r="BM108" s="110"/>
      <c r="BN108" s="113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3"/>
      <c r="BY108" s="110"/>
      <c r="BZ108" s="110"/>
      <c r="CA108" s="110"/>
      <c r="CB108" s="110"/>
      <c r="CC108" s="110"/>
      <c r="CD108" s="110"/>
      <c r="CE108" s="110"/>
      <c r="CF108" s="110"/>
      <c r="CG108" s="113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66"/>
      <c r="DA108" s="70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56"/>
      <c r="DR108" s="57"/>
      <c r="DS108" s="58"/>
      <c r="DT108" s="58"/>
      <c r="DU108" s="58"/>
      <c r="DV108" s="58"/>
      <c r="DW108" s="58"/>
      <c r="DX108" s="58"/>
      <c r="DY108" s="58"/>
      <c r="DZ108" s="59"/>
      <c r="EA108" s="60"/>
      <c r="EB108" s="61"/>
      <c r="EC108" s="62"/>
      <c r="ED108" s="2"/>
      <c r="EE108" s="63"/>
      <c r="EF108" s="63"/>
      <c r="EG108" s="63"/>
      <c r="EH108" s="63"/>
      <c r="EI108" s="63"/>
      <c r="EJ108" s="63"/>
      <c r="EK108" s="63"/>
      <c r="EL108" s="63"/>
      <c r="EM108" s="63"/>
      <c r="EN108" s="63"/>
      <c r="EO108" s="63"/>
      <c r="EP108" s="63"/>
      <c r="EQ108" s="63"/>
      <c r="ER108" s="63"/>
      <c r="ES108" s="63"/>
      <c r="ET108" s="63"/>
      <c r="EU108" s="80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5"/>
      <c r="FH108" s="84"/>
      <c r="FI108" s="64"/>
      <c r="FJ108" s="8"/>
      <c r="FK108" s="48"/>
      <c r="FL108" s="48"/>
      <c r="FM108" s="48"/>
      <c r="FN108" s="48"/>
      <c r="FO108" s="48"/>
      <c r="FP108" s="48"/>
      <c r="FQ108" s="48"/>
      <c r="FR108" s="48"/>
      <c r="FS108" s="48"/>
      <c r="FT108" s="48"/>
      <c r="FU108" s="48"/>
      <c r="FV108" s="48"/>
      <c r="FW108" s="48"/>
      <c r="FX108" s="48"/>
      <c r="FY108" s="48"/>
      <c r="FZ108" s="48"/>
      <c r="GA108" s="48"/>
      <c r="GB108" s="48"/>
      <c r="GC108" s="48"/>
      <c r="GD108" s="48"/>
      <c r="GE108" s="48"/>
      <c r="GF108" s="48"/>
      <c r="GG108" s="48"/>
      <c r="GH108" s="48"/>
      <c r="GI108" s="48"/>
      <c r="GJ108" s="8"/>
      <c r="GK108" s="9">
        <f t="shared" si="62"/>
        <v>0</v>
      </c>
      <c r="GL108" s="9">
        <f t="shared" si="63"/>
        <v>0</v>
      </c>
      <c r="GM108" s="9">
        <f t="shared" si="64"/>
        <v>0</v>
      </c>
      <c r="GN108" s="9">
        <f t="shared" si="65"/>
        <v>0</v>
      </c>
      <c r="GO108" s="9">
        <f t="shared" si="66"/>
        <v>0</v>
      </c>
      <c r="GP108" s="9">
        <f t="shared" si="67"/>
        <v>0</v>
      </c>
      <c r="GQ108" s="9">
        <f t="shared" si="68"/>
        <v>0</v>
      </c>
      <c r="GR108" s="9">
        <f t="shared" si="69"/>
        <v>0</v>
      </c>
      <c r="GS108" s="9">
        <f t="shared" si="70"/>
        <v>0</v>
      </c>
      <c r="GT108" s="9">
        <f t="shared" si="71"/>
        <v>0</v>
      </c>
      <c r="GU108" s="9">
        <f t="shared" si="72"/>
        <v>0</v>
      </c>
      <c r="GV108" s="9">
        <f t="shared" si="73"/>
        <v>0</v>
      </c>
      <c r="GW108" s="9">
        <f t="shared" si="74"/>
        <v>0</v>
      </c>
      <c r="GX108" s="77">
        <f t="shared" si="75"/>
        <v>0</v>
      </c>
      <c r="GY108" s="77">
        <f t="shared" si="76"/>
        <v>0</v>
      </c>
      <c r="GZ108" s="77">
        <f t="shared" si="77"/>
        <v>0</v>
      </c>
    </row>
    <row r="109" spans="1:208">
      <c r="A109" s="48"/>
      <c r="B109" s="49"/>
      <c r="C109" s="50"/>
      <c r="D109" s="51"/>
      <c r="E109" s="50"/>
      <c r="F109" s="52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90"/>
      <c r="V109" s="91"/>
      <c r="W109" s="92"/>
      <c r="X109" s="92"/>
      <c r="Y109" s="92"/>
      <c r="Z109" s="91"/>
      <c r="AA109" s="93"/>
      <c r="AB109" s="99"/>
      <c r="AC109" s="54"/>
      <c r="AD109" s="54"/>
      <c r="AE109" s="54"/>
      <c r="AF109" s="54"/>
      <c r="AG109" s="54"/>
      <c r="AH109" s="54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113"/>
      <c r="BB109" s="110"/>
      <c r="BC109" s="110"/>
      <c r="BD109" s="110"/>
      <c r="BE109" s="110"/>
      <c r="BF109" s="110"/>
      <c r="BG109" s="110"/>
      <c r="BH109" s="110"/>
      <c r="BI109" s="113"/>
      <c r="BJ109" s="110"/>
      <c r="BK109" s="110"/>
      <c r="BL109" s="110"/>
      <c r="BM109" s="110"/>
      <c r="BN109" s="113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3"/>
      <c r="BY109" s="110"/>
      <c r="BZ109" s="110"/>
      <c r="CA109" s="110"/>
      <c r="CB109" s="110"/>
      <c r="CC109" s="110"/>
      <c r="CD109" s="110"/>
      <c r="CE109" s="110"/>
      <c r="CF109" s="110"/>
      <c r="CG109" s="113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66"/>
      <c r="DA109" s="70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56"/>
      <c r="DR109" s="57"/>
      <c r="DS109" s="58"/>
      <c r="DT109" s="58"/>
      <c r="DU109" s="58"/>
      <c r="DV109" s="58"/>
      <c r="DW109" s="58"/>
      <c r="DX109" s="58"/>
      <c r="DY109" s="58"/>
      <c r="DZ109" s="59"/>
      <c r="EA109" s="60"/>
      <c r="EB109" s="61"/>
      <c r="EC109" s="62"/>
      <c r="ED109" s="2"/>
      <c r="EE109" s="63"/>
      <c r="EF109" s="63"/>
      <c r="EG109" s="63"/>
      <c r="EH109" s="63"/>
      <c r="EI109" s="63"/>
      <c r="EJ109" s="63"/>
      <c r="EK109" s="63"/>
      <c r="EL109" s="63"/>
      <c r="EM109" s="63"/>
      <c r="EN109" s="63"/>
      <c r="EO109" s="63"/>
      <c r="EP109" s="63"/>
      <c r="EQ109" s="63"/>
      <c r="ER109" s="63"/>
      <c r="ES109" s="63"/>
      <c r="ET109" s="63"/>
      <c r="EU109" s="80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5"/>
      <c r="FH109" s="84"/>
      <c r="FI109" s="64"/>
      <c r="FJ109" s="8"/>
      <c r="FK109" s="48"/>
      <c r="FL109" s="48"/>
      <c r="FM109" s="48"/>
      <c r="FN109" s="48"/>
      <c r="FO109" s="48"/>
      <c r="FP109" s="48"/>
      <c r="FQ109" s="48"/>
      <c r="FR109" s="48"/>
      <c r="FS109" s="48"/>
      <c r="FT109" s="48"/>
      <c r="FU109" s="48"/>
      <c r="FV109" s="48"/>
      <c r="FW109" s="48"/>
      <c r="FX109" s="48"/>
      <c r="FY109" s="48"/>
      <c r="FZ109" s="48"/>
      <c r="GA109" s="48"/>
      <c r="GB109" s="48"/>
      <c r="GC109" s="48"/>
      <c r="GD109" s="48"/>
      <c r="GE109" s="48"/>
      <c r="GF109" s="48"/>
      <c r="GG109" s="48"/>
      <c r="GH109" s="48"/>
      <c r="GI109" s="48"/>
      <c r="GJ109" s="8"/>
      <c r="GK109" s="9">
        <f t="shared" si="62"/>
        <v>0</v>
      </c>
      <c r="GL109" s="9">
        <f t="shared" si="63"/>
        <v>0</v>
      </c>
      <c r="GM109" s="9">
        <f t="shared" si="64"/>
        <v>0</v>
      </c>
      <c r="GN109" s="9">
        <f t="shared" si="65"/>
        <v>0</v>
      </c>
      <c r="GO109" s="9">
        <f t="shared" si="66"/>
        <v>0</v>
      </c>
      <c r="GP109" s="9">
        <f t="shared" si="67"/>
        <v>0</v>
      </c>
      <c r="GQ109" s="9">
        <f t="shared" si="68"/>
        <v>0</v>
      </c>
      <c r="GR109" s="9">
        <f t="shared" si="69"/>
        <v>0</v>
      </c>
      <c r="GS109" s="9">
        <f t="shared" si="70"/>
        <v>0</v>
      </c>
      <c r="GT109" s="9">
        <f t="shared" si="71"/>
        <v>0</v>
      </c>
      <c r="GU109" s="9">
        <f t="shared" si="72"/>
        <v>0</v>
      </c>
      <c r="GV109" s="9">
        <f t="shared" si="73"/>
        <v>0</v>
      </c>
      <c r="GW109" s="9">
        <f t="shared" si="74"/>
        <v>0</v>
      </c>
      <c r="GX109" s="77">
        <f t="shared" si="75"/>
        <v>0</v>
      </c>
      <c r="GY109" s="77">
        <f t="shared" si="76"/>
        <v>0</v>
      </c>
      <c r="GZ109" s="77">
        <f t="shared" si="77"/>
        <v>0</v>
      </c>
    </row>
    <row r="110" spans="1:208">
      <c r="A110" s="48"/>
      <c r="B110" s="49"/>
      <c r="C110" s="50"/>
      <c r="D110" s="51"/>
      <c r="E110" s="50"/>
      <c r="F110" s="52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90"/>
      <c r="V110" s="91"/>
      <c r="W110" s="92"/>
      <c r="X110" s="92"/>
      <c r="Y110" s="92"/>
      <c r="Z110" s="91"/>
      <c r="AA110" s="93"/>
      <c r="AB110" s="99"/>
      <c r="AC110" s="54"/>
      <c r="AD110" s="54"/>
      <c r="AE110" s="54"/>
      <c r="AF110" s="54"/>
      <c r="AG110" s="54"/>
      <c r="AH110" s="54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113"/>
      <c r="BB110" s="110"/>
      <c r="BC110" s="110"/>
      <c r="BD110" s="110"/>
      <c r="BE110" s="110"/>
      <c r="BF110" s="110"/>
      <c r="BG110" s="110"/>
      <c r="BH110" s="110"/>
      <c r="BI110" s="113"/>
      <c r="BJ110" s="110"/>
      <c r="BK110" s="110"/>
      <c r="BL110" s="110"/>
      <c r="BM110" s="110"/>
      <c r="BN110" s="113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3"/>
      <c r="BY110" s="110"/>
      <c r="BZ110" s="110"/>
      <c r="CA110" s="110"/>
      <c r="CB110" s="110"/>
      <c r="CC110" s="110"/>
      <c r="CD110" s="110"/>
      <c r="CE110" s="110"/>
      <c r="CF110" s="110"/>
      <c r="CG110" s="113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66"/>
      <c r="DA110" s="70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56"/>
      <c r="DR110" s="57"/>
      <c r="DS110" s="58"/>
      <c r="DT110" s="58"/>
      <c r="DU110" s="58"/>
      <c r="DV110" s="58"/>
      <c r="DW110" s="58"/>
      <c r="DX110" s="58"/>
      <c r="DY110" s="58"/>
      <c r="DZ110" s="59"/>
      <c r="EA110" s="60"/>
      <c r="EB110" s="61"/>
      <c r="EC110" s="62"/>
      <c r="ED110" s="2"/>
      <c r="EE110" s="63"/>
      <c r="EF110" s="63"/>
      <c r="EG110" s="63"/>
      <c r="EH110" s="63"/>
      <c r="EI110" s="63"/>
      <c r="EJ110" s="63"/>
      <c r="EK110" s="63"/>
      <c r="EL110" s="63"/>
      <c r="EM110" s="63"/>
      <c r="EN110" s="63"/>
      <c r="EO110" s="63"/>
      <c r="EP110" s="63"/>
      <c r="EQ110" s="63"/>
      <c r="ER110" s="63"/>
      <c r="ES110" s="63"/>
      <c r="ET110" s="63"/>
      <c r="EU110" s="80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5"/>
      <c r="FH110" s="84"/>
      <c r="FI110" s="64"/>
      <c r="FJ110" s="8"/>
      <c r="FK110" s="48"/>
      <c r="FL110" s="48"/>
      <c r="FM110" s="48"/>
      <c r="FN110" s="48"/>
      <c r="FO110" s="48"/>
      <c r="FP110" s="48"/>
      <c r="FQ110" s="48"/>
      <c r="FR110" s="48"/>
      <c r="FS110" s="48"/>
      <c r="FT110" s="48"/>
      <c r="FU110" s="48"/>
      <c r="FV110" s="48"/>
      <c r="FW110" s="48"/>
      <c r="FX110" s="48"/>
      <c r="FY110" s="48"/>
      <c r="FZ110" s="48"/>
      <c r="GA110" s="48"/>
      <c r="GB110" s="48"/>
      <c r="GC110" s="48"/>
      <c r="GD110" s="48"/>
      <c r="GE110" s="48"/>
      <c r="GF110" s="48"/>
      <c r="GG110" s="48"/>
      <c r="GH110" s="48"/>
      <c r="GI110" s="48"/>
      <c r="GJ110" s="8"/>
      <c r="GK110" s="9">
        <f t="shared" si="62"/>
        <v>0</v>
      </c>
      <c r="GL110" s="9">
        <f t="shared" si="63"/>
        <v>0</v>
      </c>
      <c r="GM110" s="9">
        <f t="shared" si="64"/>
        <v>0</v>
      </c>
      <c r="GN110" s="9">
        <f t="shared" si="65"/>
        <v>0</v>
      </c>
      <c r="GO110" s="9">
        <f t="shared" si="66"/>
        <v>0</v>
      </c>
      <c r="GP110" s="9">
        <f t="shared" si="67"/>
        <v>0</v>
      </c>
      <c r="GQ110" s="9">
        <f t="shared" si="68"/>
        <v>0</v>
      </c>
      <c r="GR110" s="9">
        <f t="shared" si="69"/>
        <v>0</v>
      </c>
      <c r="GS110" s="9">
        <f t="shared" si="70"/>
        <v>0</v>
      </c>
      <c r="GT110" s="9">
        <f t="shared" si="71"/>
        <v>0</v>
      </c>
      <c r="GU110" s="9">
        <f t="shared" si="72"/>
        <v>0</v>
      </c>
      <c r="GV110" s="9">
        <f t="shared" si="73"/>
        <v>0</v>
      </c>
      <c r="GW110" s="9">
        <f t="shared" si="74"/>
        <v>0</v>
      </c>
      <c r="GX110" s="77">
        <f t="shared" si="75"/>
        <v>0</v>
      </c>
      <c r="GY110" s="77">
        <f t="shared" si="76"/>
        <v>0</v>
      </c>
      <c r="GZ110" s="77">
        <f t="shared" si="77"/>
        <v>0</v>
      </c>
    </row>
    <row r="111" spans="1:208">
      <c r="A111" s="48"/>
      <c r="B111" s="49"/>
      <c r="C111" s="50"/>
      <c r="D111" s="51"/>
      <c r="E111" s="50"/>
      <c r="F111" s="52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90"/>
      <c r="V111" s="91"/>
      <c r="W111" s="92"/>
      <c r="X111" s="92"/>
      <c r="Y111" s="92"/>
      <c r="Z111" s="91"/>
      <c r="AA111" s="93"/>
      <c r="AB111" s="99"/>
      <c r="AC111" s="54"/>
      <c r="AD111" s="54"/>
      <c r="AE111" s="54"/>
      <c r="AF111" s="54"/>
      <c r="AG111" s="54"/>
      <c r="AH111" s="54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113"/>
      <c r="BB111" s="110"/>
      <c r="BC111" s="110"/>
      <c r="BD111" s="110"/>
      <c r="BE111" s="110"/>
      <c r="BF111" s="110"/>
      <c r="BG111" s="110"/>
      <c r="BH111" s="110"/>
      <c r="BI111" s="113"/>
      <c r="BJ111" s="110"/>
      <c r="BK111" s="110"/>
      <c r="BL111" s="110"/>
      <c r="BM111" s="110"/>
      <c r="BN111" s="113"/>
      <c r="BO111" s="110"/>
      <c r="BP111" s="110"/>
      <c r="BQ111" s="110"/>
      <c r="BR111" s="110"/>
      <c r="BS111" s="110"/>
      <c r="BT111" s="110"/>
      <c r="BU111" s="110"/>
      <c r="BV111" s="110"/>
      <c r="BW111" s="110"/>
      <c r="BX111" s="113"/>
      <c r="BY111" s="110"/>
      <c r="BZ111" s="110"/>
      <c r="CA111" s="110"/>
      <c r="CB111" s="110"/>
      <c r="CC111" s="110"/>
      <c r="CD111" s="110"/>
      <c r="CE111" s="110"/>
      <c r="CF111" s="110"/>
      <c r="CG111" s="113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66"/>
      <c r="DA111" s="70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56"/>
      <c r="DR111" s="57"/>
      <c r="DS111" s="58"/>
      <c r="DT111" s="58"/>
      <c r="DU111" s="58"/>
      <c r="DV111" s="58"/>
      <c r="DW111" s="58"/>
      <c r="DX111" s="58"/>
      <c r="DY111" s="58"/>
      <c r="DZ111" s="59"/>
      <c r="EA111" s="60"/>
      <c r="EB111" s="61"/>
      <c r="EC111" s="62"/>
      <c r="ED111" s="2"/>
      <c r="EE111" s="63"/>
      <c r="EF111" s="63"/>
      <c r="EG111" s="63"/>
      <c r="EH111" s="63"/>
      <c r="EI111" s="63"/>
      <c r="EJ111" s="63"/>
      <c r="EK111" s="63"/>
      <c r="EL111" s="63"/>
      <c r="EM111" s="63"/>
      <c r="EN111" s="63"/>
      <c r="EO111" s="63"/>
      <c r="EP111" s="63"/>
      <c r="EQ111" s="63"/>
      <c r="ER111" s="63"/>
      <c r="ES111" s="63"/>
      <c r="ET111" s="63"/>
      <c r="EU111" s="80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5"/>
      <c r="FH111" s="84"/>
      <c r="FI111" s="64"/>
      <c r="FJ111" s="8"/>
      <c r="FK111" s="48"/>
      <c r="FL111" s="48"/>
      <c r="FM111" s="48"/>
      <c r="FN111" s="48"/>
      <c r="FO111" s="48"/>
      <c r="FP111" s="48"/>
      <c r="FQ111" s="48"/>
      <c r="FR111" s="48"/>
      <c r="FS111" s="48"/>
      <c r="FT111" s="48"/>
      <c r="FU111" s="48"/>
      <c r="FV111" s="48"/>
      <c r="FW111" s="48"/>
      <c r="FX111" s="48"/>
      <c r="FY111" s="48"/>
      <c r="FZ111" s="48"/>
      <c r="GA111" s="48"/>
      <c r="GB111" s="48"/>
      <c r="GC111" s="48"/>
      <c r="GD111" s="48"/>
      <c r="GE111" s="48"/>
      <c r="GF111" s="48"/>
      <c r="GG111" s="48"/>
      <c r="GH111" s="48"/>
      <c r="GI111" s="48"/>
      <c r="GJ111" s="8"/>
      <c r="GK111" s="9">
        <f t="shared" si="62"/>
        <v>0</v>
      </c>
      <c r="GL111" s="9">
        <f t="shared" si="63"/>
        <v>0</v>
      </c>
      <c r="GM111" s="9">
        <f t="shared" si="64"/>
        <v>0</v>
      </c>
      <c r="GN111" s="9">
        <f t="shared" si="65"/>
        <v>0</v>
      </c>
      <c r="GO111" s="9">
        <f t="shared" si="66"/>
        <v>0</v>
      </c>
      <c r="GP111" s="9">
        <f t="shared" si="67"/>
        <v>0</v>
      </c>
      <c r="GQ111" s="9">
        <f t="shared" si="68"/>
        <v>0</v>
      </c>
      <c r="GR111" s="9">
        <f t="shared" si="69"/>
        <v>0</v>
      </c>
      <c r="GS111" s="9">
        <f t="shared" si="70"/>
        <v>0</v>
      </c>
      <c r="GT111" s="9">
        <f t="shared" si="71"/>
        <v>0</v>
      </c>
      <c r="GU111" s="9">
        <f t="shared" si="72"/>
        <v>0</v>
      </c>
      <c r="GV111" s="9">
        <f t="shared" si="73"/>
        <v>0</v>
      </c>
      <c r="GW111" s="9">
        <f t="shared" si="74"/>
        <v>0</v>
      </c>
      <c r="GX111" s="77">
        <f t="shared" si="75"/>
        <v>0</v>
      </c>
      <c r="GY111" s="77">
        <f t="shared" si="76"/>
        <v>0</v>
      </c>
      <c r="GZ111" s="77">
        <f t="shared" si="77"/>
        <v>0</v>
      </c>
    </row>
    <row r="112" spans="1:208">
      <c r="A112" s="48"/>
      <c r="B112" s="49"/>
      <c r="C112" s="50"/>
      <c r="D112" s="51"/>
      <c r="E112" s="50"/>
      <c r="F112" s="52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90"/>
      <c r="V112" s="91"/>
      <c r="W112" s="92"/>
      <c r="X112" s="92"/>
      <c r="Y112" s="92"/>
      <c r="Z112" s="91"/>
      <c r="AA112" s="93"/>
      <c r="AB112" s="99"/>
      <c r="AC112" s="54"/>
      <c r="AD112" s="54"/>
      <c r="AE112" s="54"/>
      <c r="AF112" s="54"/>
      <c r="AG112" s="54"/>
      <c r="AH112" s="54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113"/>
      <c r="BB112" s="110"/>
      <c r="BC112" s="110"/>
      <c r="BD112" s="110"/>
      <c r="BE112" s="110"/>
      <c r="BF112" s="110"/>
      <c r="BG112" s="110"/>
      <c r="BH112" s="110"/>
      <c r="BI112" s="113"/>
      <c r="BJ112" s="110"/>
      <c r="BK112" s="110"/>
      <c r="BL112" s="110"/>
      <c r="BM112" s="110"/>
      <c r="BN112" s="113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3"/>
      <c r="BY112" s="110"/>
      <c r="BZ112" s="110"/>
      <c r="CA112" s="110"/>
      <c r="CB112" s="110"/>
      <c r="CC112" s="110"/>
      <c r="CD112" s="110"/>
      <c r="CE112" s="110"/>
      <c r="CF112" s="110"/>
      <c r="CG112" s="113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66"/>
      <c r="DA112" s="70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56"/>
      <c r="DR112" s="57"/>
      <c r="DS112" s="58"/>
      <c r="DT112" s="58"/>
      <c r="DU112" s="58"/>
      <c r="DV112" s="58"/>
      <c r="DW112" s="58"/>
      <c r="DX112" s="58"/>
      <c r="DY112" s="58"/>
      <c r="DZ112" s="59"/>
      <c r="EA112" s="60"/>
      <c r="EB112" s="61"/>
      <c r="EC112" s="62"/>
      <c r="ED112" s="2"/>
      <c r="EE112" s="63"/>
      <c r="EF112" s="63"/>
      <c r="EG112" s="63"/>
      <c r="EH112" s="63"/>
      <c r="EI112" s="63"/>
      <c r="EJ112" s="63"/>
      <c r="EK112" s="63"/>
      <c r="EL112" s="63"/>
      <c r="EM112" s="63"/>
      <c r="EN112" s="63"/>
      <c r="EO112" s="63"/>
      <c r="EP112" s="63"/>
      <c r="EQ112" s="63"/>
      <c r="ER112" s="63"/>
      <c r="ES112" s="63"/>
      <c r="ET112" s="63"/>
      <c r="EU112" s="80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5"/>
      <c r="FH112" s="84"/>
      <c r="FI112" s="64"/>
      <c r="FJ112" s="8"/>
      <c r="FK112" s="48"/>
      <c r="FL112" s="48"/>
      <c r="FM112" s="48"/>
      <c r="FN112" s="48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8"/>
      <c r="GG112" s="48"/>
      <c r="GH112" s="48"/>
      <c r="GI112" s="48"/>
      <c r="GJ112" s="8"/>
      <c r="GK112" s="9">
        <f t="shared" si="62"/>
        <v>0</v>
      </c>
      <c r="GL112" s="9">
        <f t="shared" si="63"/>
        <v>0</v>
      </c>
      <c r="GM112" s="9">
        <f t="shared" si="64"/>
        <v>0</v>
      </c>
      <c r="GN112" s="9">
        <f t="shared" si="65"/>
        <v>0</v>
      </c>
      <c r="GO112" s="9">
        <f t="shared" si="66"/>
        <v>0</v>
      </c>
      <c r="GP112" s="9">
        <f t="shared" si="67"/>
        <v>0</v>
      </c>
      <c r="GQ112" s="9">
        <f t="shared" si="68"/>
        <v>0</v>
      </c>
      <c r="GR112" s="9">
        <f t="shared" si="69"/>
        <v>0</v>
      </c>
      <c r="GS112" s="9">
        <f t="shared" si="70"/>
        <v>0</v>
      </c>
      <c r="GT112" s="9">
        <f t="shared" si="71"/>
        <v>0</v>
      </c>
      <c r="GU112" s="9">
        <f t="shared" si="72"/>
        <v>0</v>
      </c>
      <c r="GV112" s="9">
        <f t="shared" si="73"/>
        <v>0</v>
      </c>
      <c r="GW112" s="9">
        <f t="shared" si="74"/>
        <v>0</v>
      </c>
      <c r="GX112" s="77">
        <f t="shared" si="75"/>
        <v>0</v>
      </c>
      <c r="GY112" s="77">
        <f t="shared" si="76"/>
        <v>0</v>
      </c>
      <c r="GZ112" s="77">
        <f t="shared" si="77"/>
        <v>0</v>
      </c>
    </row>
    <row r="113" spans="1:208">
      <c r="A113" s="48"/>
      <c r="B113" s="49"/>
      <c r="C113" s="50"/>
      <c r="D113" s="51"/>
      <c r="E113" s="50"/>
      <c r="F113" s="52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90"/>
      <c r="V113" s="91"/>
      <c r="W113" s="92"/>
      <c r="X113" s="92"/>
      <c r="Y113" s="92"/>
      <c r="Z113" s="91"/>
      <c r="AA113" s="93"/>
      <c r="AB113" s="99"/>
      <c r="AC113" s="54"/>
      <c r="AD113" s="54"/>
      <c r="AE113" s="54"/>
      <c r="AF113" s="54"/>
      <c r="AG113" s="54"/>
      <c r="AH113" s="54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113"/>
      <c r="BB113" s="110"/>
      <c r="BC113" s="110"/>
      <c r="BD113" s="110"/>
      <c r="BE113" s="110"/>
      <c r="BF113" s="110"/>
      <c r="BG113" s="110"/>
      <c r="BH113" s="110"/>
      <c r="BI113" s="113"/>
      <c r="BJ113" s="110"/>
      <c r="BK113" s="110"/>
      <c r="BL113" s="110"/>
      <c r="BM113" s="110"/>
      <c r="BN113" s="113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3"/>
      <c r="BY113" s="110"/>
      <c r="BZ113" s="110"/>
      <c r="CA113" s="110"/>
      <c r="CB113" s="110"/>
      <c r="CC113" s="110"/>
      <c r="CD113" s="110"/>
      <c r="CE113" s="110"/>
      <c r="CF113" s="110"/>
      <c r="CG113" s="113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66"/>
      <c r="DA113" s="70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56"/>
      <c r="DR113" s="57"/>
      <c r="DS113" s="58"/>
      <c r="DT113" s="58"/>
      <c r="DU113" s="58"/>
      <c r="DV113" s="58"/>
      <c r="DW113" s="58"/>
      <c r="DX113" s="58"/>
      <c r="DY113" s="58"/>
      <c r="DZ113" s="59"/>
      <c r="EA113" s="60"/>
      <c r="EB113" s="61"/>
      <c r="EC113" s="62"/>
      <c r="ED113" s="2"/>
      <c r="EE113" s="63"/>
      <c r="EF113" s="63"/>
      <c r="EG113" s="63"/>
      <c r="EH113" s="63"/>
      <c r="EI113" s="63"/>
      <c r="EJ113" s="63"/>
      <c r="EK113" s="63"/>
      <c r="EL113" s="63"/>
      <c r="EM113" s="63"/>
      <c r="EN113" s="63"/>
      <c r="EO113" s="63"/>
      <c r="EP113" s="63"/>
      <c r="EQ113" s="63"/>
      <c r="ER113" s="63"/>
      <c r="ES113" s="63"/>
      <c r="ET113" s="63"/>
      <c r="EU113" s="80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5"/>
      <c r="FH113" s="84"/>
      <c r="FI113" s="64"/>
      <c r="FJ113" s="8"/>
      <c r="FK113" s="48"/>
      <c r="FL113" s="48"/>
      <c r="FM113" s="48"/>
      <c r="FN113" s="48"/>
      <c r="FO113" s="48"/>
      <c r="FP113" s="48"/>
      <c r="FQ113" s="48"/>
      <c r="FR113" s="48"/>
      <c r="FS113" s="48"/>
      <c r="FT113" s="48"/>
      <c r="FU113" s="48"/>
      <c r="FV113" s="48"/>
      <c r="FW113" s="48"/>
      <c r="FX113" s="48"/>
      <c r="FY113" s="48"/>
      <c r="FZ113" s="48"/>
      <c r="GA113" s="48"/>
      <c r="GB113" s="48"/>
      <c r="GC113" s="48"/>
      <c r="GD113" s="48"/>
      <c r="GE113" s="48"/>
      <c r="GF113" s="48"/>
      <c r="GG113" s="48"/>
      <c r="GH113" s="48"/>
      <c r="GI113" s="48"/>
      <c r="GJ113" s="8"/>
      <c r="GK113" s="9">
        <f t="shared" si="62"/>
        <v>0</v>
      </c>
      <c r="GL113" s="9">
        <f t="shared" si="63"/>
        <v>0</v>
      </c>
      <c r="GM113" s="9">
        <f t="shared" si="64"/>
        <v>0</v>
      </c>
      <c r="GN113" s="9">
        <f t="shared" si="65"/>
        <v>0</v>
      </c>
      <c r="GO113" s="9">
        <f t="shared" si="66"/>
        <v>0</v>
      </c>
      <c r="GP113" s="9">
        <f t="shared" si="67"/>
        <v>0</v>
      </c>
      <c r="GQ113" s="9">
        <f t="shared" si="68"/>
        <v>0</v>
      </c>
      <c r="GR113" s="9">
        <f t="shared" si="69"/>
        <v>0</v>
      </c>
      <c r="GS113" s="9">
        <f t="shared" si="70"/>
        <v>0</v>
      </c>
      <c r="GT113" s="9">
        <f t="shared" si="71"/>
        <v>0</v>
      </c>
      <c r="GU113" s="9">
        <f t="shared" si="72"/>
        <v>0</v>
      </c>
      <c r="GV113" s="9">
        <f t="shared" si="73"/>
        <v>0</v>
      </c>
      <c r="GW113" s="9">
        <f t="shared" si="74"/>
        <v>0</v>
      </c>
      <c r="GX113" s="77">
        <f t="shared" si="75"/>
        <v>0</v>
      </c>
      <c r="GY113" s="77">
        <f t="shared" si="76"/>
        <v>0</v>
      </c>
      <c r="GZ113" s="77">
        <f t="shared" si="77"/>
        <v>0</v>
      </c>
    </row>
    <row r="114" spans="1:208">
      <c r="A114" s="48"/>
      <c r="B114" s="49"/>
      <c r="C114" s="50"/>
      <c r="D114" s="51"/>
      <c r="E114" s="50"/>
      <c r="F114" s="52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90"/>
      <c r="V114" s="91"/>
      <c r="W114" s="92"/>
      <c r="X114" s="92"/>
      <c r="Y114" s="92"/>
      <c r="Z114" s="91"/>
      <c r="AA114" s="93"/>
      <c r="AB114" s="99"/>
      <c r="AC114" s="54"/>
      <c r="AD114" s="54"/>
      <c r="AE114" s="54"/>
      <c r="AF114" s="54"/>
      <c r="AG114" s="54"/>
      <c r="AH114" s="54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113"/>
      <c r="BB114" s="110"/>
      <c r="BC114" s="110"/>
      <c r="BD114" s="110"/>
      <c r="BE114" s="110"/>
      <c r="BF114" s="110"/>
      <c r="BG114" s="110"/>
      <c r="BH114" s="110"/>
      <c r="BI114" s="113"/>
      <c r="BJ114" s="110"/>
      <c r="BK114" s="110"/>
      <c r="BL114" s="110"/>
      <c r="BM114" s="110"/>
      <c r="BN114" s="113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3"/>
      <c r="BY114" s="110"/>
      <c r="BZ114" s="110"/>
      <c r="CA114" s="110"/>
      <c r="CB114" s="110"/>
      <c r="CC114" s="110"/>
      <c r="CD114" s="110"/>
      <c r="CE114" s="110"/>
      <c r="CF114" s="110"/>
      <c r="CG114" s="113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66"/>
      <c r="DA114" s="70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56"/>
      <c r="DR114" s="57"/>
      <c r="DS114" s="58"/>
      <c r="DT114" s="58"/>
      <c r="DU114" s="58"/>
      <c r="DV114" s="58"/>
      <c r="DW114" s="58"/>
      <c r="DX114" s="58"/>
      <c r="DY114" s="58"/>
      <c r="DZ114" s="59"/>
      <c r="EA114" s="60"/>
      <c r="EB114" s="61"/>
      <c r="EC114" s="62"/>
      <c r="ED114" s="2"/>
      <c r="EE114" s="63"/>
      <c r="EF114" s="63"/>
      <c r="EG114" s="63"/>
      <c r="EH114" s="63"/>
      <c r="EI114" s="63"/>
      <c r="EJ114" s="63"/>
      <c r="EK114" s="63"/>
      <c r="EL114" s="63"/>
      <c r="EM114" s="63"/>
      <c r="EN114" s="63"/>
      <c r="EO114" s="63"/>
      <c r="EP114" s="63"/>
      <c r="EQ114" s="63"/>
      <c r="ER114" s="63"/>
      <c r="ES114" s="63"/>
      <c r="ET114" s="63"/>
      <c r="EU114" s="80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5"/>
      <c r="FH114" s="84"/>
      <c r="FI114" s="64"/>
      <c r="FJ114" s="8"/>
      <c r="FK114" s="48"/>
      <c r="FL114" s="48"/>
      <c r="FM114" s="48"/>
      <c r="FN114" s="48"/>
      <c r="FO114" s="48"/>
      <c r="FP114" s="48"/>
      <c r="FQ114" s="48"/>
      <c r="FR114" s="48"/>
      <c r="FS114" s="48"/>
      <c r="FT114" s="48"/>
      <c r="FU114" s="48"/>
      <c r="FV114" s="48"/>
      <c r="FW114" s="48"/>
      <c r="FX114" s="48"/>
      <c r="FY114" s="48"/>
      <c r="FZ114" s="48"/>
      <c r="GA114" s="48"/>
      <c r="GB114" s="48"/>
      <c r="GC114" s="48"/>
      <c r="GD114" s="48"/>
      <c r="GE114" s="48"/>
      <c r="GF114" s="48"/>
      <c r="GG114" s="48"/>
      <c r="GH114" s="48"/>
      <c r="GI114" s="48"/>
      <c r="GJ114" s="8"/>
      <c r="GK114" s="9">
        <f t="shared" si="62"/>
        <v>0</v>
      </c>
      <c r="GL114" s="9">
        <f t="shared" si="63"/>
        <v>0</v>
      </c>
      <c r="GM114" s="9">
        <f t="shared" si="64"/>
        <v>0</v>
      </c>
      <c r="GN114" s="9">
        <f t="shared" si="65"/>
        <v>0</v>
      </c>
      <c r="GO114" s="9">
        <f t="shared" si="66"/>
        <v>0</v>
      </c>
      <c r="GP114" s="9">
        <f t="shared" si="67"/>
        <v>0</v>
      </c>
      <c r="GQ114" s="9">
        <f t="shared" si="68"/>
        <v>0</v>
      </c>
      <c r="GR114" s="9">
        <f t="shared" si="69"/>
        <v>0</v>
      </c>
      <c r="GS114" s="9">
        <f t="shared" si="70"/>
        <v>0</v>
      </c>
      <c r="GT114" s="9">
        <f t="shared" si="71"/>
        <v>0</v>
      </c>
      <c r="GU114" s="9">
        <f t="shared" si="72"/>
        <v>0</v>
      </c>
      <c r="GV114" s="9">
        <f t="shared" si="73"/>
        <v>0</v>
      </c>
      <c r="GW114" s="9">
        <f t="shared" si="74"/>
        <v>0</v>
      </c>
      <c r="GX114" s="77">
        <f t="shared" si="75"/>
        <v>0</v>
      </c>
      <c r="GY114" s="77">
        <f t="shared" si="76"/>
        <v>0</v>
      </c>
      <c r="GZ114" s="77">
        <f t="shared" si="77"/>
        <v>0</v>
      </c>
    </row>
    <row r="115" spans="1:208">
      <c r="A115" s="48"/>
      <c r="B115" s="49"/>
      <c r="C115" s="50"/>
      <c r="D115" s="51"/>
      <c r="E115" s="50"/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90"/>
      <c r="V115" s="91"/>
      <c r="W115" s="92"/>
      <c r="X115" s="92"/>
      <c r="Y115" s="92"/>
      <c r="Z115" s="91"/>
      <c r="AA115" s="93"/>
      <c r="AB115" s="99"/>
      <c r="AC115" s="54"/>
      <c r="AD115" s="54"/>
      <c r="AE115" s="54"/>
      <c r="AF115" s="54"/>
      <c r="AG115" s="54"/>
      <c r="AH115" s="54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113"/>
      <c r="BB115" s="110"/>
      <c r="BC115" s="110"/>
      <c r="BD115" s="110"/>
      <c r="BE115" s="110"/>
      <c r="BF115" s="110"/>
      <c r="BG115" s="110"/>
      <c r="BH115" s="110"/>
      <c r="BI115" s="113"/>
      <c r="BJ115" s="110"/>
      <c r="BK115" s="110"/>
      <c r="BL115" s="110"/>
      <c r="BM115" s="110"/>
      <c r="BN115" s="113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3"/>
      <c r="BY115" s="110"/>
      <c r="BZ115" s="110"/>
      <c r="CA115" s="110"/>
      <c r="CB115" s="110"/>
      <c r="CC115" s="110"/>
      <c r="CD115" s="110"/>
      <c r="CE115" s="110"/>
      <c r="CF115" s="110"/>
      <c r="CG115" s="113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66"/>
      <c r="DA115" s="70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56"/>
      <c r="DR115" s="57"/>
      <c r="DS115" s="58"/>
      <c r="DT115" s="58"/>
      <c r="DU115" s="58"/>
      <c r="DV115" s="58"/>
      <c r="DW115" s="58"/>
      <c r="DX115" s="58"/>
      <c r="DY115" s="58"/>
      <c r="DZ115" s="59"/>
      <c r="EA115" s="60"/>
      <c r="EB115" s="61"/>
      <c r="EC115" s="62"/>
      <c r="ED115" s="2"/>
      <c r="EE115" s="63"/>
      <c r="EF115" s="63"/>
      <c r="EG115" s="63"/>
      <c r="EH115" s="63"/>
      <c r="EI115" s="63"/>
      <c r="EJ115" s="63"/>
      <c r="EK115" s="63"/>
      <c r="EL115" s="63"/>
      <c r="EM115" s="63"/>
      <c r="EN115" s="63"/>
      <c r="EO115" s="63"/>
      <c r="EP115" s="63"/>
      <c r="EQ115" s="63"/>
      <c r="ER115" s="63"/>
      <c r="ES115" s="63"/>
      <c r="ET115" s="63"/>
      <c r="EU115" s="80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5"/>
      <c r="FH115" s="84"/>
      <c r="FI115" s="64"/>
      <c r="FJ115" s="8"/>
      <c r="FK115" s="48"/>
      <c r="FL115" s="48"/>
      <c r="FM115" s="48"/>
      <c r="FN115" s="48"/>
      <c r="FO115" s="48"/>
      <c r="FP115" s="48"/>
      <c r="FQ115" s="48"/>
      <c r="FR115" s="48"/>
      <c r="FS115" s="48"/>
      <c r="FT115" s="48"/>
      <c r="FU115" s="48"/>
      <c r="FV115" s="48"/>
      <c r="FW115" s="48"/>
      <c r="FX115" s="48"/>
      <c r="FY115" s="48"/>
      <c r="FZ115" s="48"/>
      <c r="GA115" s="48"/>
      <c r="GB115" s="48"/>
      <c r="GC115" s="48"/>
      <c r="GD115" s="48"/>
      <c r="GE115" s="48"/>
      <c r="GF115" s="48"/>
      <c r="GG115" s="48"/>
      <c r="GH115" s="48"/>
      <c r="GI115" s="48"/>
      <c r="GJ115" s="8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77"/>
      <c r="GY115" s="77"/>
      <c r="GZ115" s="77"/>
    </row>
    <row r="116" spans="1:208">
      <c r="A116" s="48"/>
      <c r="B116" s="49"/>
      <c r="C116" s="50"/>
      <c r="D116" s="51"/>
      <c r="E116" s="50"/>
      <c r="F116" s="52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90"/>
      <c r="V116" s="91"/>
      <c r="W116" s="92"/>
      <c r="X116" s="92"/>
      <c r="Y116" s="92"/>
      <c r="Z116" s="91"/>
      <c r="AA116" s="93"/>
      <c r="AB116" s="99"/>
      <c r="AC116" s="54"/>
      <c r="AD116" s="54"/>
      <c r="AE116" s="54"/>
      <c r="AF116" s="54"/>
      <c r="AG116" s="54"/>
      <c r="AH116" s="54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113"/>
      <c r="BB116" s="110"/>
      <c r="BC116" s="110"/>
      <c r="BD116" s="110"/>
      <c r="BE116" s="110"/>
      <c r="BF116" s="110"/>
      <c r="BG116" s="110"/>
      <c r="BH116" s="110"/>
      <c r="BI116" s="113"/>
      <c r="BJ116" s="110"/>
      <c r="BK116" s="110"/>
      <c r="BL116" s="110"/>
      <c r="BM116" s="110"/>
      <c r="BN116" s="113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3"/>
      <c r="BY116" s="110"/>
      <c r="BZ116" s="110"/>
      <c r="CA116" s="110"/>
      <c r="CB116" s="110"/>
      <c r="CC116" s="110"/>
      <c r="CD116" s="110"/>
      <c r="CE116" s="110"/>
      <c r="CF116" s="110"/>
      <c r="CG116" s="113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66"/>
      <c r="DA116" s="70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56"/>
      <c r="DR116" s="57"/>
      <c r="DS116" s="58"/>
      <c r="DT116" s="58"/>
      <c r="DU116" s="58"/>
      <c r="DV116" s="58"/>
      <c r="DW116" s="58"/>
      <c r="DX116" s="58"/>
      <c r="DY116" s="58"/>
      <c r="DZ116" s="59"/>
      <c r="EA116" s="60"/>
      <c r="EB116" s="61"/>
      <c r="EC116" s="62"/>
      <c r="ED116" s="2"/>
      <c r="EE116" s="63"/>
      <c r="EF116" s="63"/>
      <c r="EG116" s="63"/>
      <c r="EH116" s="63"/>
      <c r="EI116" s="63"/>
      <c r="EJ116" s="63"/>
      <c r="EK116" s="63"/>
      <c r="EL116" s="63"/>
      <c r="EM116" s="63"/>
      <c r="EN116" s="63"/>
      <c r="EO116" s="63"/>
      <c r="EP116" s="63"/>
      <c r="EQ116" s="63"/>
      <c r="ER116" s="63"/>
      <c r="ES116" s="63"/>
      <c r="ET116" s="63"/>
      <c r="EU116" s="80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5"/>
      <c r="FH116" s="84"/>
      <c r="FI116" s="64"/>
      <c r="FJ116" s="8"/>
      <c r="FK116" s="48"/>
      <c r="FL116" s="48"/>
      <c r="FM116" s="48"/>
      <c r="FN116" s="48"/>
      <c r="FO116" s="48"/>
      <c r="FP116" s="48"/>
      <c r="FQ116" s="48"/>
      <c r="FR116" s="48"/>
      <c r="FS116" s="48"/>
      <c r="FT116" s="48"/>
      <c r="FU116" s="48"/>
      <c r="FV116" s="48"/>
      <c r="FW116" s="48"/>
      <c r="FX116" s="48"/>
      <c r="FY116" s="48"/>
      <c r="FZ116" s="48"/>
      <c r="GA116" s="48"/>
      <c r="GB116" s="48"/>
      <c r="GC116" s="48"/>
      <c r="GD116" s="48"/>
      <c r="GE116" s="48"/>
      <c r="GF116" s="48"/>
      <c r="GG116" s="48"/>
      <c r="GH116" s="48"/>
      <c r="GI116" s="48"/>
      <c r="GJ116" s="8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77"/>
      <c r="GY116" s="77"/>
      <c r="GZ116" s="77"/>
    </row>
    <row r="117" spans="1:208">
      <c r="A117" s="48"/>
      <c r="B117" s="49"/>
      <c r="C117" s="50"/>
      <c r="D117" s="51"/>
      <c r="E117" s="50"/>
      <c r="F117" s="52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90"/>
      <c r="V117" s="91"/>
      <c r="W117" s="92"/>
      <c r="X117" s="92"/>
      <c r="Y117" s="92"/>
      <c r="Z117" s="91"/>
      <c r="AA117" s="93"/>
      <c r="AB117" s="99"/>
      <c r="AC117" s="54"/>
      <c r="AD117" s="54"/>
      <c r="AE117" s="54"/>
      <c r="AF117" s="54"/>
      <c r="AG117" s="54"/>
      <c r="AH117" s="54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113"/>
      <c r="BB117" s="110"/>
      <c r="BC117" s="110"/>
      <c r="BD117" s="110"/>
      <c r="BE117" s="110"/>
      <c r="BF117" s="110"/>
      <c r="BG117" s="110"/>
      <c r="BH117" s="110"/>
      <c r="BI117" s="113"/>
      <c r="BJ117" s="110"/>
      <c r="BK117" s="110"/>
      <c r="BL117" s="110"/>
      <c r="BM117" s="110"/>
      <c r="BN117" s="113"/>
      <c r="BO117" s="110"/>
      <c r="BP117" s="110"/>
      <c r="BQ117" s="110"/>
      <c r="BR117" s="110"/>
      <c r="BS117" s="110"/>
      <c r="BT117" s="110"/>
      <c r="BU117" s="110"/>
      <c r="BV117" s="110"/>
      <c r="BW117" s="110"/>
      <c r="BX117" s="113"/>
      <c r="BY117" s="110"/>
      <c r="BZ117" s="110"/>
      <c r="CA117" s="110"/>
      <c r="CB117" s="110"/>
      <c r="CC117" s="110"/>
      <c r="CD117" s="110"/>
      <c r="CE117" s="110"/>
      <c r="CF117" s="110"/>
      <c r="CG117" s="113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66"/>
      <c r="DA117" s="70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56"/>
      <c r="DR117" s="57"/>
      <c r="DS117" s="58"/>
      <c r="DT117" s="58"/>
      <c r="DU117" s="58"/>
      <c r="DV117" s="58"/>
      <c r="DW117" s="58"/>
      <c r="DX117" s="58"/>
      <c r="DY117" s="58"/>
      <c r="DZ117" s="59"/>
      <c r="EA117" s="60"/>
      <c r="EB117" s="61"/>
      <c r="EC117" s="62"/>
      <c r="ED117" s="2"/>
      <c r="EE117" s="63"/>
      <c r="EF117" s="63"/>
      <c r="EG117" s="63"/>
      <c r="EH117" s="63"/>
      <c r="EI117" s="63"/>
      <c r="EJ117" s="63"/>
      <c r="EK117" s="63"/>
      <c r="EL117" s="63"/>
      <c r="EM117" s="63"/>
      <c r="EN117" s="63"/>
      <c r="EO117" s="63"/>
      <c r="EP117" s="63"/>
      <c r="EQ117" s="63"/>
      <c r="ER117" s="63"/>
      <c r="ES117" s="63"/>
      <c r="ET117" s="63"/>
      <c r="EU117" s="80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5"/>
      <c r="FH117" s="84"/>
      <c r="FI117" s="64"/>
      <c r="FJ117" s="8"/>
      <c r="FK117" s="48"/>
      <c r="FL117" s="48"/>
      <c r="FM117" s="48"/>
      <c r="FN117" s="48"/>
      <c r="FO117" s="48"/>
      <c r="FP117" s="48"/>
      <c r="FQ117" s="48"/>
      <c r="FR117" s="48"/>
      <c r="FS117" s="48"/>
      <c r="FT117" s="48"/>
      <c r="FU117" s="48"/>
      <c r="FV117" s="48"/>
      <c r="FW117" s="48"/>
      <c r="FX117" s="48"/>
      <c r="FY117" s="48"/>
      <c r="FZ117" s="48"/>
      <c r="GA117" s="48"/>
      <c r="GB117" s="48"/>
      <c r="GC117" s="48"/>
      <c r="GD117" s="48"/>
      <c r="GE117" s="48"/>
      <c r="GF117" s="48"/>
      <c r="GG117" s="48"/>
      <c r="GH117" s="48"/>
      <c r="GI117" s="48"/>
      <c r="GJ117" s="8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77"/>
      <c r="GY117" s="77"/>
      <c r="GZ117" s="77"/>
    </row>
    <row r="118" spans="1:208">
      <c r="A118" s="48"/>
      <c r="B118" s="49"/>
      <c r="C118" s="50"/>
      <c r="D118" s="51"/>
      <c r="E118" s="50"/>
      <c r="F118" s="52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90"/>
      <c r="V118" s="91"/>
      <c r="W118" s="92"/>
      <c r="X118" s="92"/>
      <c r="Y118" s="92"/>
      <c r="Z118" s="91"/>
      <c r="AA118" s="93"/>
      <c r="AB118" s="99"/>
      <c r="AC118" s="54"/>
      <c r="AD118" s="54"/>
      <c r="AE118" s="54"/>
      <c r="AF118" s="54"/>
      <c r="AG118" s="54"/>
      <c r="AH118" s="54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113"/>
      <c r="BB118" s="110"/>
      <c r="BC118" s="110"/>
      <c r="BD118" s="110"/>
      <c r="BE118" s="110"/>
      <c r="BF118" s="110"/>
      <c r="BG118" s="110"/>
      <c r="BH118" s="110"/>
      <c r="BI118" s="113"/>
      <c r="BJ118" s="110"/>
      <c r="BK118" s="110"/>
      <c r="BL118" s="110"/>
      <c r="BM118" s="110"/>
      <c r="BN118" s="113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3"/>
      <c r="BY118" s="110"/>
      <c r="BZ118" s="110"/>
      <c r="CA118" s="110"/>
      <c r="CB118" s="110"/>
      <c r="CC118" s="110"/>
      <c r="CD118" s="110"/>
      <c r="CE118" s="110"/>
      <c r="CF118" s="110"/>
      <c r="CG118" s="113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66"/>
      <c r="DA118" s="70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56"/>
      <c r="DR118" s="57"/>
      <c r="DS118" s="58"/>
      <c r="DT118" s="58"/>
      <c r="DU118" s="58"/>
      <c r="DV118" s="58"/>
      <c r="DW118" s="58"/>
      <c r="DX118" s="58"/>
      <c r="DY118" s="58"/>
      <c r="DZ118" s="59"/>
      <c r="EA118" s="60"/>
      <c r="EB118" s="61"/>
      <c r="EC118" s="62"/>
      <c r="ED118" s="2"/>
      <c r="EE118" s="63"/>
      <c r="EF118" s="63"/>
      <c r="EG118" s="63"/>
      <c r="EH118" s="63"/>
      <c r="EI118" s="63"/>
      <c r="EJ118" s="63"/>
      <c r="EK118" s="63"/>
      <c r="EL118" s="63"/>
      <c r="EM118" s="63"/>
      <c r="EN118" s="63"/>
      <c r="EO118" s="63"/>
      <c r="EP118" s="63"/>
      <c r="EQ118" s="63"/>
      <c r="ER118" s="63"/>
      <c r="ES118" s="63"/>
      <c r="ET118" s="63"/>
      <c r="EU118" s="80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5"/>
      <c r="FH118" s="84"/>
      <c r="FI118" s="64"/>
      <c r="FJ118" s="8"/>
      <c r="FK118" s="48"/>
      <c r="FL118" s="48"/>
      <c r="FM118" s="48"/>
      <c r="FN118" s="48"/>
      <c r="FO118" s="48"/>
      <c r="FP118" s="48"/>
      <c r="FQ118" s="48"/>
      <c r="FR118" s="48"/>
      <c r="FS118" s="48"/>
      <c r="FT118" s="48"/>
      <c r="FU118" s="48"/>
      <c r="FV118" s="48"/>
      <c r="FW118" s="48"/>
      <c r="FX118" s="48"/>
      <c r="FY118" s="48"/>
      <c r="FZ118" s="48"/>
      <c r="GA118" s="48"/>
      <c r="GB118" s="48"/>
      <c r="GC118" s="48"/>
      <c r="GD118" s="48"/>
      <c r="GE118" s="48"/>
      <c r="GF118" s="48"/>
      <c r="GG118" s="48"/>
      <c r="GH118" s="48"/>
      <c r="GI118" s="48"/>
      <c r="GJ118" s="8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77"/>
      <c r="GY118" s="77"/>
      <c r="GZ118" s="77"/>
    </row>
    <row r="119" spans="1:208">
      <c r="A119" s="48"/>
      <c r="B119" s="49"/>
      <c r="C119" s="50"/>
      <c r="D119" s="51"/>
      <c r="E119" s="50"/>
      <c r="F119" s="52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90"/>
      <c r="V119" s="91"/>
      <c r="W119" s="92"/>
      <c r="X119" s="92"/>
      <c r="Y119" s="92"/>
      <c r="Z119" s="91"/>
      <c r="AA119" s="93"/>
      <c r="AB119" s="99"/>
      <c r="AC119" s="54"/>
      <c r="AD119" s="54"/>
      <c r="AE119" s="54"/>
      <c r="AF119" s="54"/>
      <c r="AG119" s="54"/>
      <c r="AH119" s="54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113"/>
      <c r="BB119" s="110"/>
      <c r="BC119" s="110"/>
      <c r="BD119" s="110"/>
      <c r="BE119" s="110"/>
      <c r="BF119" s="110"/>
      <c r="BG119" s="110"/>
      <c r="BH119" s="110"/>
      <c r="BI119" s="113"/>
      <c r="BJ119" s="110"/>
      <c r="BK119" s="110"/>
      <c r="BL119" s="110"/>
      <c r="BM119" s="110"/>
      <c r="BN119" s="113"/>
      <c r="BO119" s="110"/>
      <c r="BP119" s="110"/>
      <c r="BQ119" s="110"/>
      <c r="BR119" s="110"/>
      <c r="BS119" s="110"/>
      <c r="BT119" s="110"/>
      <c r="BU119" s="110"/>
      <c r="BV119" s="110"/>
      <c r="BW119" s="110"/>
      <c r="BX119" s="113"/>
      <c r="BY119" s="110"/>
      <c r="BZ119" s="110"/>
      <c r="CA119" s="110"/>
      <c r="CB119" s="110"/>
      <c r="CC119" s="110"/>
      <c r="CD119" s="110"/>
      <c r="CE119" s="110"/>
      <c r="CF119" s="110"/>
      <c r="CG119" s="113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66"/>
      <c r="DA119" s="70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56"/>
      <c r="DR119" s="57"/>
      <c r="DS119" s="58"/>
      <c r="DT119" s="58"/>
      <c r="DU119" s="58"/>
      <c r="DV119" s="58"/>
      <c r="DW119" s="58"/>
      <c r="DX119" s="58"/>
      <c r="DY119" s="58"/>
      <c r="DZ119" s="59"/>
      <c r="EA119" s="60"/>
      <c r="EB119" s="61"/>
      <c r="EC119" s="62"/>
      <c r="ED119" s="2"/>
      <c r="EE119" s="63"/>
      <c r="EF119" s="63"/>
      <c r="EG119" s="63"/>
      <c r="EH119" s="63"/>
      <c r="EI119" s="63"/>
      <c r="EJ119" s="63"/>
      <c r="EK119" s="63"/>
      <c r="EL119" s="63"/>
      <c r="EM119" s="63"/>
      <c r="EN119" s="63"/>
      <c r="EO119" s="63"/>
      <c r="EP119" s="63"/>
      <c r="EQ119" s="63"/>
      <c r="ER119" s="63"/>
      <c r="ES119" s="63"/>
      <c r="ET119" s="63"/>
      <c r="EU119" s="80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5"/>
      <c r="FH119" s="84"/>
      <c r="FI119" s="64"/>
      <c r="FJ119" s="8"/>
      <c r="FK119" s="48"/>
      <c r="FL119" s="48"/>
      <c r="FM119" s="48"/>
      <c r="FN119" s="48"/>
      <c r="FO119" s="48"/>
      <c r="FP119" s="48"/>
      <c r="FQ119" s="48"/>
      <c r="FR119" s="48"/>
      <c r="FS119" s="48"/>
      <c r="FT119" s="48"/>
      <c r="FU119" s="48"/>
      <c r="FV119" s="48"/>
      <c r="FW119" s="48"/>
      <c r="FX119" s="48"/>
      <c r="FY119" s="48"/>
      <c r="FZ119" s="48"/>
      <c r="GA119" s="48"/>
      <c r="GB119" s="48"/>
      <c r="GC119" s="48"/>
      <c r="GD119" s="48"/>
      <c r="GE119" s="48"/>
      <c r="GF119" s="48"/>
      <c r="GG119" s="48"/>
      <c r="GH119" s="48"/>
      <c r="GI119" s="48"/>
      <c r="GJ119" s="8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77"/>
      <c r="GY119" s="77"/>
      <c r="GZ119" s="77"/>
    </row>
    <row r="120" spans="1:208">
      <c r="A120" s="48"/>
      <c r="B120" s="49"/>
      <c r="C120" s="50"/>
      <c r="D120" s="51"/>
      <c r="E120" s="50"/>
      <c r="F120" s="52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90"/>
      <c r="V120" s="91"/>
      <c r="W120" s="92"/>
      <c r="X120" s="92"/>
      <c r="Y120" s="92"/>
      <c r="Z120" s="91"/>
      <c r="AA120" s="93"/>
      <c r="AB120" s="99"/>
      <c r="AC120" s="54"/>
      <c r="AD120" s="54"/>
      <c r="AE120" s="54"/>
      <c r="AF120" s="54"/>
      <c r="AG120" s="54"/>
      <c r="AH120" s="54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113"/>
      <c r="BB120" s="110"/>
      <c r="BC120" s="110"/>
      <c r="BD120" s="110"/>
      <c r="BE120" s="110"/>
      <c r="BF120" s="110"/>
      <c r="BG120" s="110"/>
      <c r="BH120" s="110"/>
      <c r="BI120" s="113"/>
      <c r="BJ120" s="110"/>
      <c r="BK120" s="110"/>
      <c r="BL120" s="110"/>
      <c r="BM120" s="110"/>
      <c r="BN120" s="113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3"/>
      <c r="BY120" s="110"/>
      <c r="BZ120" s="110"/>
      <c r="CA120" s="110"/>
      <c r="CB120" s="110"/>
      <c r="CC120" s="110"/>
      <c r="CD120" s="110"/>
      <c r="CE120" s="110"/>
      <c r="CF120" s="110"/>
      <c r="CG120" s="113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66"/>
      <c r="DA120" s="70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56"/>
      <c r="DR120" s="57"/>
      <c r="DS120" s="58"/>
      <c r="DT120" s="58"/>
      <c r="DU120" s="58"/>
      <c r="DV120" s="58"/>
      <c r="DW120" s="58"/>
      <c r="DX120" s="58"/>
      <c r="DY120" s="58"/>
      <c r="DZ120" s="59"/>
      <c r="EA120" s="60"/>
      <c r="EB120" s="61"/>
      <c r="EC120" s="62"/>
      <c r="ED120" s="2"/>
      <c r="EE120" s="63"/>
      <c r="EF120" s="63"/>
      <c r="EG120" s="63"/>
      <c r="EH120" s="63"/>
      <c r="EI120" s="63"/>
      <c r="EJ120" s="63"/>
      <c r="EK120" s="63"/>
      <c r="EL120" s="63"/>
      <c r="EM120" s="63"/>
      <c r="EN120" s="63"/>
      <c r="EO120" s="63"/>
      <c r="EP120" s="63"/>
      <c r="EQ120" s="63"/>
      <c r="ER120" s="63"/>
      <c r="ES120" s="63"/>
      <c r="ET120" s="63"/>
      <c r="EU120" s="80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5"/>
      <c r="FH120" s="84"/>
      <c r="FI120" s="64"/>
      <c r="FJ120" s="8"/>
      <c r="FK120" s="48"/>
      <c r="FL120" s="48"/>
      <c r="FM120" s="48"/>
      <c r="FN120" s="48"/>
      <c r="FO120" s="48"/>
      <c r="FP120" s="48"/>
      <c r="FQ120" s="48"/>
      <c r="FR120" s="48"/>
      <c r="FS120" s="48"/>
      <c r="FT120" s="48"/>
      <c r="FU120" s="48"/>
      <c r="FV120" s="48"/>
      <c r="FW120" s="48"/>
      <c r="FX120" s="48"/>
      <c r="FY120" s="48"/>
      <c r="FZ120" s="48"/>
      <c r="GA120" s="48"/>
      <c r="GB120" s="48"/>
      <c r="GC120" s="48"/>
      <c r="GD120" s="48"/>
      <c r="GE120" s="48"/>
      <c r="GF120" s="48"/>
      <c r="GG120" s="48"/>
      <c r="GH120" s="48"/>
      <c r="GI120" s="48"/>
      <c r="GJ120" s="8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77"/>
      <c r="GY120" s="77"/>
      <c r="GZ120" s="77"/>
    </row>
    <row r="121" spans="1:208">
      <c r="A121" s="48"/>
      <c r="B121" s="49"/>
      <c r="C121" s="50"/>
      <c r="D121" s="51"/>
      <c r="E121" s="50"/>
      <c r="F121" s="52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90"/>
      <c r="V121" s="91"/>
      <c r="W121" s="92"/>
      <c r="X121" s="92"/>
      <c r="Y121" s="92"/>
      <c r="Z121" s="91"/>
      <c r="AA121" s="93"/>
      <c r="AB121" s="99"/>
      <c r="AC121" s="54"/>
      <c r="AD121" s="54"/>
      <c r="AE121" s="54"/>
      <c r="AF121" s="54"/>
      <c r="AG121" s="54"/>
      <c r="AH121" s="54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113"/>
      <c r="BB121" s="110"/>
      <c r="BC121" s="110"/>
      <c r="BD121" s="110"/>
      <c r="BE121" s="110"/>
      <c r="BF121" s="110"/>
      <c r="BG121" s="110"/>
      <c r="BH121" s="110"/>
      <c r="BI121" s="113"/>
      <c r="BJ121" s="110"/>
      <c r="BK121" s="110"/>
      <c r="BL121" s="110"/>
      <c r="BM121" s="110"/>
      <c r="BN121" s="113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3"/>
      <c r="BY121" s="110"/>
      <c r="BZ121" s="110"/>
      <c r="CA121" s="110"/>
      <c r="CB121" s="110"/>
      <c r="CC121" s="110"/>
      <c r="CD121" s="110"/>
      <c r="CE121" s="110"/>
      <c r="CF121" s="110"/>
      <c r="CG121" s="113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66"/>
      <c r="DA121" s="70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56"/>
      <c r="DR121" s="57"/>
      <c r="DS121" s="58"/>
      <c r="DT121" s="58"/>
      <c r="DU121" s="58"/>
      <c r="DV121" s="58"/>
      <c r="DW121" s="58"/>
      <c r="DX121" s="58"/>
      <c r="DY121" s="58"/>
      <c r="DZ121" s="59"/>
      <c r="EA121" s="60"/>
      <c r="EB121" s="61"/>
      <c r="EC121" s="62"/>
      <c r="ED121" s="2"/>
      <c r="EE121" s="63"/>
      <c r="EF121" s="63"/>
      <c r="EG121" s="63"/>
      <c r="EH121" s="63"/>
      <c r="EI121" s="63"/>
      <c r="EJ121" s="63"/>
      <c r="EK121" s="63"/>
      <c r="EL121" s="63"/>
      <c r="EM121" s="63"/>
      <c r="EN121" s="63"/>
      <c r="EO121" s="63"/>
      <c r="EP121" s="63"/>
      <c r="EQ121" s="63"/>
      <c r="ER121" s="63"/>
      <c r="ES121" s="63"/>
      <c r="ET121" s="63"/>
      <c r="EU121" s="80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5"/>
      <c r="FH121" s="84"/>
      <c r="FI121" s="64"/>
      <c r="FJ121" s="8"/>
      <c r="FK121" s="48"/>
      <c r="FL121" s="48"/>
      <c r="FM121" s="48"/>
      <c r="FN121" s="48"/>
      <c r="FO121" s="48"/>
      <c r="FP121" s="48"/>
      <c r="FQ121" s="48"/>
      <c r="FR121" s="48"/>
      <c r="FS121" s="48"/>
      <c r="FT121" s="48"/>
      <c r="FU121" s="48"/>
      <c r="FV121" s="48"/>
      <c r="FW121" s="48"/>
      <c r="FX121" s="48"/>
      <c r="FY121" s="48"/>
      <c r="FZ121" s="48"/>
      <c r="GA121" s="48"/>
      <c r="GB121" s="48"/>
      <c r="GC121" s="48"/>
      <c r="GD121" s="48"/>
      <c r="GE121" s="48"/>
      <c r="GF121" s="48"/>
      <c r="GG121" s="48"/>
      <c r="GH121" s="48"/>
      <c r="GI121" s="48"/>
      <c r="GJ121" s="8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77"/>
      <c r="GY121" s="77"/>
      <c r="GZ121" s="77"/>
    </row>
    <row r="122" spans="1:208">
      <c r="A122" s="48"/>
      <c r="B122" s="49"/>
      <c r="C122" s="50"/>
      <c r="D122" s="51"/>
      <c r="E122" s="50"/>
      <c r="F122" s="52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90"/>
      <c r="V122" s="91"/>
      <c r="W122" s="92"/>
      <c r="X122" s="92"/>
      <c r="Y122" s="92"/>
      <c r="Z122" s="91"/>
      <c r="AA122" s="93"/>
      <c r="AB122" s="99"/>
      <c r="AC122" s="54"/>
      <c r="AD122" s="54"/>
      <c r="AE122" s="54"/>
      <c r="AF122" s="54"/>
      <c r="AG122" s="54"/>
      <c r="AH122" s="54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113"/>
      <c r="BB122" s="110"/>
      <c r="BC122" s="110"/>
      <c r="BD122" s="110"/>
      <c r="BE122" s="110"/>
      <c r="BF122" s="110"/>
      <c r="BG122" s="110"/>
      <c r="BH122" s="110"/>
      <c r="BI122" s="113"/>
      <c r="BJ122" s="110"/>
      <c r="BK122" s="110"/>
      <c r="BL122" s="110"/>
      <c r="BM122" s="110"/>
      <c r="BN122" s="113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3"/>
      <c r="BY122" s="110"/>
      <c r="BZ122" s="110"/>
      <c r="CA122" s="110"/>
      <c r="CB122" s="110"/>
      <c r="CC122" s="110"/>
      <c r="CD122" s="110"/>
      <c r="CE122" s="110"/>
      <c r="CF122" s="110"/>
      <c r="CG122" s="113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66"/>
      <c r="DA122" s="70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56"/>
      <c r="DR122" s="57"/>
      <c r="DS122" s="58"/>
      <c r="DT122" s="58"/>
      <c r="DU122" s="58"/>
      <c r="DV122" s="58"/>
      <c r="DW122" s="58"/>
      <c r="DX122" s="58"/>
      <c r="DY122" s="58"/>
      <c r="DZ122" s="59"/>
      <c r="EA122" s="60"/>
      <c r="EB122" s="61"/>
      <c r="EC122" s="62"/>
      <c r="ED122" s="2"/>
      <c r="EE122" s="63"/>
      <c r="EF122" s="63"/>
      <c r="EG122" s="63"/>
      <c r="EH122" s="63"/>
      <c r="EI122" s="63"/>
      <c r="EJ122" s="63"/>
      <c r="EK122" s="63"/>
      <c r="EL122" s="63"/>
      <c r="EM122" s="63"/>
      <c r="EN122" s="63"/>
      <c r="EO122" s="63"/>
      <c r="EP122" s="63"/>
      <c r="EQ122" s="63"/>
      <c r="ER122" s="63"/>
      <c r="ES122" s="63"/>
      <c r="ET122" s="63"/>
      <c r="EU122" s="80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5"/>
      <c r="FH122" s="84"/>
      <c r="FI122" s="64"/>
      <c r="FJ122" s="8"/>
      <c r="FK122" s="48"/>
      <c r="FL122" s="48"/>
      <c r="FM122" s="48"/>
      <c r="FN122" s="48"/>
      <c r="FO122" s="48"/>
      <c r="FP122" s="48"/>
      <c r="FQ122" s="48"/>
      <c r="FR122" s="48"/>
      <c r="FS122" s="48"/>
      <c r="FT122" s="48"/>
      <c r="FU122" s="48"/>
      <c r="FV122" s="48"/>
      <c r="FW122" s="48"/>
      <c r="FX122" s="48"/>
      <c r="FY122" s="48"/>
      <c r="FZ122" s="48"/>
      <c r="GA122" s="48"/>
      <c r="GB122" s="48"/>
      <c r="GC122" s="48"/>
      <c r="GD122" s="48"/>
      <c r="GE122" s="48"/>
      <c r="GF122" s="48"/>
      <c r="GG122" s="48"/>
      <c r="GH122" s="48"/>
      <c r="GI122" s="48"/>
      <c r="GJ122" s="8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77"/>
      <c r="GY122" s="77"/>
      <c r="GZ122" s="77"/>
    </row>
    <row r="123" spans="1:208">
      <c r="A123" s="48"/>
      <c r="B123" s="49"/>
      <c r="C123" s="50"/>
      <c r="D123" s="51"/>
      <c r="E123" s="50"/>
      <c r="F123" s="52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90"/>
      <c r="V123" s="91"/>
      <c r="W123" s="92"/>
      <c r="X123" s="92"/>
      <c r="Y123" s="92"/>
      <c r="Z123" s="91"/>
      <c r="AA123" s="93"/>
      <c r="AB123" s="99"/>
      <c r="AC123" s="54"/>
      <c r="AD123" s="54"/>
      <c r="AE123" s="54"/>
      <c r="AF123" s="54"/>
      <c r="AG123" s="54"/>
      <c r="AH123" s="54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113"/>
      <c r="BB123" s="110"/>
      <c r="BC123" s="110"/>
      <c r="BD123" s="110"/>
      <c r="BE123" s="110"/>
      <c r="BF123" s="110"/>
      <c r="BG123" s="110"/>
      <c r="BH123" s="110"/>
      <c r="BI123" s="113"/>
      <c r="BJ123" s="110"/>
      <c r="BK123" s="110"/>
      <c r="BL123" s="110"/>
      <c r="BM123" s="110"/>
      <c r="BN123" s="113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3"/>
      <c r="BY123" s="110"/>
      <c r="BZ123" s="110"/>
      <c r="CA123" s="110"/>
      <c r="CB123" s="110"/>
      <c r="CC123" s="110"/>
      <c r="CD123" s="110"/>
      <c r="CE123" s="110"/>
      <c r="CF123" s="110"/>
      <c r="CG123" s="113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66"/>
      <c r="DA123" s="70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56"/>
      <c r="DR123" s="57"/>
      <c r="DS123" s="58"/>
      <c r="DT123" s="58"/>
      <c r="DU123" s="58"/>
      <c r="DV123" s="58"/>
      <c r="DW123" s="58"/>
      <c r="DX123" s="58"/>
      <c r="DY123" s="58"/>
      <c r="DZ123" s="59"/>
      <c r="EA123" s="60"/>
      <c r="EB123" s="61"/>
      <c r="EC123" s="62"/>
      <c r="ED123" s="2"/>
      <c r="EE123" s="63"/>
      <c r="EF123" s="63"/>
      <c r="EG123" s="63"/>
      <c r="EH123" s="63"/>
      <c r="EI123" s="63"/>
      <c r="EJ123" s="63"/>
      <c r="EK123" s="63"/>
      <c r="EL123" s="63"/>
      <c r="EM123" s="63"/>
      <c r="EN123" s="63"/>
      <c r="EO123" s="63"/>
      <c r="EP123" s="63"/>
      <c r="EQ123" s="63"/>
      <c r="ER123" s="63"/>
      <c r="ES123" s="63"/>
      <c r="ET123" s="63"/>
      <c r="EU123" s="80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5"/>
      <c r="FH123" s="84"/>
      <c r="FI123" s="64"/>
      <c r="FJ123" s="8"/>
      <c r="FK123" s="48"/>
      <c r="FL123" s="48"/>
      <c r="FM123" s="48"/>
      <c r="FN123" s="48"/>
      <c r="FO123" s="48"/>
      <c r="FP123" s="48"/>
      <c r="FQ123" s="48"/>
      <c r="FR123" s="48"/>
      <c r="FS123" s="48"/>
      <c r="FT123" s="48"/>
      <c r="FU123" s="48"/>
      <c r="FV123" s="48"/>
      <c r="FW123" s="48"/>
      <c r="FX123" s="48"/>
      <c r="FY123" s="48"/>
      <c r="FZ123" s="48"/>
      <c r="GA123" s="48"/>
      <c r="GB123" s="48"/>
      <c r="GC123" s="48"/>
      <c r="GD123" s="48"/>
      <c r="GE123" s="48"/>
      <c r="GF123" s="48"/>
      <c r="GG123" s="48"/>
      <c r="GH123" s="48"/>
      <c r="GI123" s="48"/>
      <c r="GJ123" s="8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77"/>
      <c r="GY123" s="77"/>
      <c r="GZ123" s="77"/>
    </row>
    <row r="124" spans="1:208">
      <c r="A124" s="48"/>
      <c r="B124" s="49"/>
      <c r="C124" s="50"/>
      <c r="D124" s="51"/>
      <c r="E124" s="50"/>
      <c r="F124" s="52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90"/>
      <c r="V124" s="91"/>
      <c r="W124" s="92"/>
      <c r="X124" s="92"/>
      <c r="Y124" s="92"/>
      <c r="Z124" s="91"/>
      <c r="AA124" s="93"/>
      <c r="AB124" s="99"/>
      <c r="AC124" s="54"/>
      <c r="AD124" s="54"/>
      <c r="AE124" s="54"/>
      <c r="AF124" s="54"/>
      <c r="AG124" s="54"/>
      <c r="AH124" s="54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113"/>
      <c r="BB124" s="110"/>
      <c r="BC124" s="110"/>
      <c r="BD124" s="110"/>
      <c r="BE124" s="110"/>
      <c r="BF124" s="110"/>
      <c r="BG124" s="110"/>
      <c r="BH124" s="110"/>
      <c r="BI124" s="113"/>
      <c r="BJ124" s="110"/>
      <c r="BK124" s="110"/>
      <c r="BL124" s="110"/>
      <c r="BM124" s="110"/>
      <c r="BN124" s="113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3"/>
      <c r="BY124" s="110"/>
      <c r="BZ124" s="110"/>
      <c r="CA124" s="110"/>
      <c r="CB124" s="110"/>
      <c r="CC124" s="110"/>
      <c r="CD124" s="110"/>
      <c r="CE124" s="110"/>
      <c r="CF124" s="110"/>
      <c r="CG124" s="113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66"/>
      <c r="DA124" s="70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56"/>
      <c r="DR124" s="57"/>
      <c r="DS124" s="58"/>
      <c r="DT124" s="58"/>
      <c r="DU124" s="58"/>
      <c r="DV124" s="58"/>
      <c r="DW124" s="58"/>
      <c r="DX124" s="58"/>
      <c r="DY124" s="58"/>
      <c r="DZ124" s="59"/>
      <c r="EA124" s="60"/>
      <c r="EB124" s="61"/>
      <c r="EC124" s="62"/>
      <c r="ED124" s="2"/>
      <c r="EE124" s="63"/>
      <c r="EF124" s="63"/>
      <c r="EG124" s="63"/>
      <c r="EH124" s="63"/>
      <c r="EI124" s="63"/>
      <c r="EJ124" s="63"/>
      <c r="EK124" s="63"/>
      <c r="EL124" s="63"/>
      <c r="EM124" s="63"/>
      <c r="EN124" s="63"/>
      <c r="EO124" s="63"/>
      <c r="EP124" s="63"/>
      <c r="EQ124" s="63"/>
      <c r="ER124" s="63"/>
      <c r="ES124" s="63"/>
      <c r="ET124" s="63"/>
      <c r="EU124" s="80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5"/>
      <c r="FH124" s="84"/>
      <c r="FI124" s="64"/>
      <c r="FJ124" s="8"/>
      <c r="FK124" s="48"/>
      <c r="FL124" s="48"/>
      <c r="FM124" s="48"/>
      <c r="FN124" s="48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8"/>
      <c r="GG124" s="48"/>
      <c r="GH124" s="48"/>
      <c r="GI124" s="48"/>
      <c r="GJ124" s="8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77"/>
      <c r="GY124" s="77"/>
      <c r="GZ124" s="77"/>
    </row>
    <row r="125" spans="1:208">
      <c r="A125" s="48"/>
      <c r="B125" s="49"/>
      <c r="C125" s="50"/>
      <c r="D125" s="51"/>
      <c r="E125" s="50"/>
      <c r="F125" s="52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90"/>
      <c r="V125" s="91"/>
      <c r="W125" s="92"/>
      <c r="X125" s="92"/>
      <c r="Y125" s="92"/>
      <c r="Z125" s="91"/>
      <c r="AA125" s="93"/>
      <c r="AB125" s="99"/>
      <c r="AC125" s="54"/>
      <c r="AD125" s="54"/>
      <c r="AE125" s="54"/>
      <c r="AF125" s="54"/>
      <c r="AG125" s="54"/>
      <c r="AH125" s="54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113"/>
      <c r="BB125" s="110"/>
      <c r="BC125" s="110"/>
      <c r="BD125" s="110"/>
      <c r="BE125" s="110"/>
      <c r="BF125" s="110"/>
      <c r="BG125" s="110"/>
      <c r="BH125" s="110"/>
      <c r="BI125" s="113"/>
      <c r="BJ125" s="110"/>
      <c r="BK125" s="110"/>
      <c r="BL125" s="110"/>
      <c r="BM125" s="110"/>
      <c r="BN125" s="113"/>
      <c r="BO125" s="110"/>
      <c r="BP125" s="110"/>
      <c r="BQ125" s="110"/>
      <c r="BR125" s="110"/>
      <c r="BS125" s="110"/>
      <c r="BT125" s="110"/>
      <c r="BU125" s="110"/>
      <c r="BV125" s="110"/>
      <c r="BW125" s="110"/>
      <c r="BX125" s="113"/>
      <c r="BY125" s="110"/>
      <c r="BZ125" s="110"/>
      <c r="CA125" s="110"/>
      <c r="CB125" s="110"/>
      <c r="CC125" s="110"/>
      <c r="CD125" s="110"/>
      <c r="CE125" s="110"/>
      <c r="CF125" s="110"/>
      <c r="CG125" s="113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66"/>
      <c r="DA125" s="70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56"/>
      <c r="DR125" s="57"/>
      <c r="DS125" s="58"/>
      <c r="DT125" s="58"/>
      <c r="DU125" s="58"/>
      <c r="DV125" s="58"/>
      <c r="DW125" s="58"/>
      <c r="DX125" s="58"/>
      <c r="DY125" s="58"/>
      <c r="DZ125" s="59"/>
      <c r="EA125" s="60"/>
      <c r="EB125" s="61"/>
      <c r="EC125" s="62"/>
      <c r="ED125" s="2"/>
      <c r="EE125" s="63"/>
      <c r="EF125" s="63"/>
      <c r="EG125" s="63"/>
      <c r="EH125" s="63"/>
      <c r="EI125" s="63"/>
      <c r="EJ125" s="63"/>
      <c r="EK125" s="63"/>
      <c r="EL125" s="63"/>
      <c r="EM125" s="63"/>
      <c r="EN125" s="63"/>
      <c r="EO125" s="63"/>
      <c r="EP125" s="63"/>
      <c r="EQ125" s="63"/>
      <c r="ER125" s="63"/>
      <c r="ES125" s="63"/>
      <c r="ET125" s="63"/>
      <c r="EU125" s="80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5"/>
      <c r="FH125" s="84"/>
      <c r="FI125" s="64"/>
      <c r="FJ125" s="8"/>
      <c r="FK125" s="48"/>
      <c r="FL125" s="48"/>
      <c r="FM125" s="48"/>
      <c r="FN125" s="48"/>
      <c r="FO125" s="48"/>
      <c r="FP125" s="48"/>
      <c r="FQ125" s="48"/>
      <c r="FR125" s="48"/>
      <c r="FS125" s="48"/>
      <c r="FT125" s="48"/>
      <c r="FU125" s="48"/>
      <c r="FV125" s="48"/>
      <c r="FW125" s="48"/>
      <c r="FX125" s="48"/>
      <c r="FY125" s="48"/>
      <c r="FZ125" s="48"/>
      <c r="GA125" s="48"/>
      <c r="GB125" s="48"/>
      <c r="GC125" s="48"/>
      <c r="GD125" s="48"/>
      <c r="GE125" s="48"/>
      <c r="GF125" s="48"/>
      <c r="GG125" s="48"/>
      <c r="GH125" s="48"/>
      <c r="GI125" s="48"/>
      <c r="GJ125" s="8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77"/>
      <c r="GY125" s="77"/>
      <c r="GZ125" s="77"/>
    </row>
    <row r="126" spans="1:208">
      <c r="A126" s="48"/>
      <c r="B126" s="49"/>
      <c r="C126" s="50"/>
      <c r="D126" s="51"/>
      <c r="E126" s="50"/>
      <c r="F126" s="52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90"/>
      <c r="V126" s="91"/>
      <c r="W126" s="92"/>
      <c r="X126" s="92"/>
      <c r="Y126" s="92"/>
      <c r="Z126" s="91"/>
      <c r="AA126" s="93"/>
      <c r="AB126" s="99"/>
      <c r="AC126" s="54"/>
      <c r="AD126" s="54"/>
      <c r="AE126" s="54"/>
      <c r="AF126" s="54"/>
      <c r="AG126" s="54"/>
      <c r="AH126" s="54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113"/>
      <c r="BB126" s="110"/>
      <c r="BC126" s="110"/>
      <c r="BD126" s="110"/>
      <c r="BE126" s="110"/>
      <c r="BF126" s="110"/>
      <c r="BG126" s="110"/>
      <c r="BH126" s="110"/>
      <c r="BI126" s="113"/>
      <c r="BJ126" s="110"/>
      <c r="BK126" s="110"/>
      <c r="BL126" s="110"/>
      <c r="BM126" s="110"/>
      <c r="BN126" s="113"/>
      <c r="BO126" s="110"/>
      <c r="BP126" s="110"/>
      <c r="BQ126" s="110"/>
      <c r="BR126" s="110"/>
      <c r="BS126" s="110"/>
      <c r="BT126" s="110"/>
      <c r="BU126" s="110"/>
      <c r="BV126" s="110"/>
      <c r="BW126" s="110"/>
      <c r="BX126" s="113"/>
      <c r="BY126" s="110"/>
      <c r="BZ126" s="110"/>
      <c r="CA126" s="110"/>
      <c r="CB126" s="110"/>
      <c r="CC126" s="110"/>
      <c r="CD126" s="110"/>
      <c r="CE126" s="110"/>
      <c r="CF126" s="110"/>
      <c r="CG126" s="113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66"/>
      <c r="DA126" s="70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56"/>
      <c r="DR126" s="57"/>
      <c r="DS126" s="58"/>
      <c r="DT126" s="58"/>
      <c r="DU126" s="58"/>
      <c r="DV126" s="58"/>
      <c r="DW126" s="58"/>
      <c r="DX126" s="58"/>
      <c r="DY126" s="58"/>
      <c r="DZ126" s="59"/>
      <c r="EA126" s="60"/>
      <c r="EB126" s="61"/>
      <c r="EC126" s="62"/>
      <c r="ED126" s="2"/>
      <c r="EE126" s="63"/>
      <c r="EF126" s="63"/>
      <c r="EG126" s="63"/>
      <c r="EH126" s="63"/>
      <c r="EI126" s="63"/>
      <c r="EJ126" s="63"/>
      <c r="EK126" s="63"/>
      <c r="EL126" s="63"/>
      <c r="EM126" s="63"/>
      <c r="EN126" s="63"/>
      <c r="EO126" s="63"/>
      <c r="EP126" s="63"/>
      <c r="EQ126" s="63"/>
      <c r="ER126" s="63"/>
      <c r="ES126" s="63"/>
      <c r="ET126" s="63"/>
      <c r="EU126" s="80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5"/>
      <c r="FH126" s="84"/>
      <c r="FI126" s="64"/>
      <c r="FJ126" s="8"/>
      <c r="FK126" s="48"/>
      <c r="FL126" s="48"/>
      <c r="FM126" s="48"/>
      <c r="FN126" s="48"/>
      <c r="FO126" s="48"/>
      <c r="FP126" s="48"/>
      <c r="FQ126" s="48"/>
      <c r="FR126" s="48"/>
      <c r="FS126" s="48"/>
      <c r="FT126" s="48"/>
      <c r="FU126" s="48"/>
      <c r="FV126" s="48"/>
      <c r="FW126" s="48"/>
      <c r="FX126" s="48"/>
      <c r="FY126" s="48"/>
      <c r="FZ126" s="48"/>
      <c r="GA126" s="48"/>
      <c r="GB126" s="48"/>
      <c r="GC126" s="48"/>
      <c r="GD126" s="48"/>
      <c r="GE126" s="48"/>
      <c r="GF126" s="48"/>
      <c r="GG126" s="48"/>
      <c r="GH126" s="48"/>
      <c r="GI126" s="48"/>
      <c r="GJ126" s="8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77"/>
      <c r="GY126" s="77"/>
      <c r="GZ126" s="77"/>
    </row>
    <row r="127" spans="1:208">
      <c r="A127" s="48"/>
      <c r="B127" s="49"/>
      <c r="C127" s="50"/>
      <c r="D127" s="51"/>
      <c r="E127" s="50"/>
      <c r="F127" s="52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90"/>
      <c r="V127" s="91"/>
      <c r="W127" s="92"/>
      <c r="X127" s="92"/>
      <c r="Y127" s="92"/>
      <c r="Z127" s="91"/>
      <c r="AA127" s="93"/>
      <c r="AB127" s="99"/>
      <c r="AC127" s="54"/>
      <c r="AD127" s="54"/>
      <c r="AE127" s="54"/>
      <c r="AF127" s="54"/>
      <c r="AG127" s="54"/>
      <c r="AH127" s="54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113"/>
      <c r="BB127" s="110"/>
      <c r="BC127" s="110"/>
      <c r="BD127" s="110"/>
      <c r="BE127" s="110"/>
      <c r="BF127" s="110"/>
      <c r="BG127" s="110"/>
      <c r="BH127" s="110"/>
      <c r="BI127" s="113"/>
      <c r="BJ127" s="110"/>
      <c r="BK127" s="110"/>
      <c r="BL127" s="110"/>
      <c r="BM127" s="110"/>
      <c r="BN127" s="113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3"/>
      <c r="BY127" s="110"/>
      <c r="BZ127" s="110"/>
      <c r="CA127" s="110"/>
      <c r="CB127" s="110"/>
      <c r="CC127" s="110"/>
      <c r="CD127" s="110"/>
      <c r="CE127" s="110"/>
      <c r="CF127" s="110"/>
      <c r="CG127" s="113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66"/>
      <c r="DA127" s="70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56"/>
      <c r="DR127" s="57"/>
      <c r="DS127" s="58"/>
      <c r="DT127" s="58"/>
      <c r="DU127" s="58"/>
      <c r="DV127" s="58"/>
      <c r="DW127" s="58"/>
      <c r="DX127" s="58"/>
      <c r="DY127" s="58"/>
      <c r="DZ127" s="59"/>
      <c r="EA127" s="60"/>
      <c r="EB127" s="61"/>
      <c r="EC127" s="62"/>
      <c r="ED127" s="2"/>
      <c r="EE127" s="63"/>
      <c r="EF127" s="63"/>
      <c r="EG127" s="63"/>
      <c r="EH127" s="63"/>
      <c r="EI127" s="63"/>
      <c r="EJ127" s="63"/>
      <c r="EK127" s="63"/>
      <c r="EL127" s="63"/>
      <c r="EM127" s="63"/>
      <c r="EN127" s="63"/>
      <c r="EO127" s="63"/>
      <c r="EP127" s="63"/>
      <c r="EQ127" s="63"/>
      <c r="ER127" s="63"/>
      <c r="ES127" s="63"/>
      <c r="ET127" s="63"/>
      <c r="EU127" s="80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5"/>
      <c r="FH127" s="84"/>
      <c r="FI127" s="64"/>
      <c r="FJ127" s="8"/>
      <c r="FK127" s="48"/>
      <c r="FL127" s="48"/>
      <c r="FM127" s="48"/>
      <c r="FN127" s="48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8"/>
      <c r="GG127" s="48"/>
      <c r="GH127" s="48"/>
      <c r="GI127" s="48"/>
      <c r="GJ127" s="8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77"/>
      <c r="GY127" s="77"/>
      <c r="GZ127" s="77"/>
    </row>
    <row r="128" spans="1:208">
      <c r="A128" s="48"/>
      <c r="B128" s="49"/>
      <c r="C128" s="50"/>
      <c r="D128" s="51"/>
      <c r="E128" s="50"/>
      <c r="F128" s="52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90"/>
      <c r="V128" s="91"/>
      <c r="W128" s="92"/>
      <c r="X128" s="92"/>
      <c r="Y128" s="92"/>
      <c r="Z128" s="91"/>
      <c r="AA128" s="93"/>
      <c r="AB128" s="99"/>
      <c r="AC128" s="54"/>
      <c r="AD128" s="54"/>
      <c r="AE128" s="54"/>
      <c r="AF128" s="54"/>
      <c r="AG128" s="54"/>
      <c r="AH128" s="54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113"/>
      <c r="BB128" s="110"/>
      <c r="BC128" s="110"/>
      <c r="BD128" s="110"/>
      <c r="BE128" s="110"/>
      <c r="BF128" s="110"/>
      <c r="BG128" s="110"/>
      <c r="BH128" s="110"/>
      <c r="BI128" s="113"/>
      <c r="BJ128" s="110"/>
      <c r="BK128" s="110"/>
      <c r="BL128" s="110"/>
      <c r="BM128" s="110"/>
      <c r="BN128" s="113"/>
      <c r="BO128" s="110"/>
      <c r="BP128" s="110"/>
      <c r="BQ128" s="110"/>
      <c r="BR128" s="110"/>
      <c r="BS128" s="110"/>
      <c r="BT128" s="110"/>
      <c r="BU128" s="110"/>
      <c r="BV128" s="110"/>
      <c r="BW128" s="110"/>
      <c r="BX128" s="113"/>
      <c r="BY128" s="110"/>
      <c r="BZ128" s="110"/>
      <c r="CA128" s="110"/>
      <c r="CB128" s="110"/>
      <c r="CC128" s="110"/>
      <c r="CD128" s="110"/>
      <c r="CE128" s="110"/>
      <c r="CF128" s="110"/>
      <c r="CG128" s="113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66"/>
      <c r="DA128" s="70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56"/>
      <c r="DR128" s="57"/>
      <c r="DS128" s="58"/>
      <c r="DT128" s="58"/>
      <c r="DU128" s="58"/>
      <c r="DV128" s="58"/>
      <c r="DW128" s="58"/>
      <c r="DX128" s="58"/>
      <c r="DY128" s="58"/>
      <c r="DZ128" s="59"/>
      <c r="EA128" s="60"/>
      <c r="EB128" s="61"/>
      <c r="EC128" s="62"/>
      <c r="ED128" s="2"/>
      <c r="EE128" s="63"/>
      <c r="EF128" s="63"/>
      <c r="EG128" s="63"/>
      <c r="EH128" s="63"/>
      <c r="EI128" s="63"/>
      <c r="EJ128" s="63"/>
      <c r="EK128" s="63"/>
      <c r="EL128" s="63"/>
      <c r="EM128" s="63"/>
      <c r="EN128" s="63"/>
      <c r="EO128" s="63"/>
      <c r="EP128" s="63"/>
      <c r="EQ128" s="63"/>
      <c r="ER128" s="63"/>
      <c r="ES128" s="63"/>
      <c r="ET128" s="63"/>
      <c r="EU128" s="80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5"/>
      <c r="FH128" s="84"/>
      <c r="FI128" s="64"/>
      <c r="FJ128" s="8"/>
      <c r="FK128" s="48"/>
      <c r="FL128" s="48"/>
      <c r="FM128" s="48"/>
      <c r="FN128" s="48"/>
      <c r="FO128" s="48"/>
      <c r="FP128" s="48"/>
      <c r="FQ128" s="48"/>
      <c r="FR128" s="48"/>
      <c r="FS128" s="48"/>
      <c r="FT128" s="48"/>
      <c r="FU128" s="48"/>
      <c r="FV128" s="48"/>
      <c r="FW128" s="48"/>
      <c r="FX128" s="48"/>
      <c r="FY128" s="48"/>
      <c r="FZ128" s="48"/>
      <c r="GA128" s="48"/>
      <c r="GB128" s="48"/>
      <c r="GC128" s="48"/>
      <c r="GD128" s="48"/>
      <c r="GE128" s="48"/>
      <c r="GF128" s="48"/>
      <c r="GG128" s="48"/>
      <c r="GH128" s="48"/>
      <c r="GI128" s="48"/>
      <c r="GJ128" s="8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77"/>
      <c r="GY128" s="77"/>
      <c r="GZ128" s="77"/>
    </row>
    <row r="129" spans="1:208">
      <c r="A129" s="48"/>
      <c r="B129" s="49"/>
      <c r="C129" s="50"/>
      <c r="D129" s="51"/>
      <c r="E129" s="50"/>
      <c r="F129" s="52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90"/>
      <c r="V129" s="91"/>
      <c r="W129" s="92"/>
      <c r="X129" s="92"/>
      <c r="Y129" s="92"/>
      <c r="Z129" s="91"/>
      <c r="AA129" s="93"/>
      <c r="AB129" s="99"/>
      <c r="AC129" s="54"/>
      <c r="AD129" s="54"/>
      <c r="AE129" s="54"/>
      <c r="AF129" s="54"/>
      <c r="AG129" s="54"/>
      <c r="AH129" s="54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113"/>
      <c r="BB129" s="110"/>
      <c r="BC129" s="110"/>
      <c r="BD129" s="110"/>
      <c r="BE129" s="110"/>
      <c r="BF129" s="110"/>
      <c r="BG129" s="110"/>
      <c r="BH129" s="110"/>
      <c r="BI129" s="113"/>
      <c r="BJ129" s="110"/>
      <c r="BK129" s="110"/>
      <c r="BL129" s="110"/>
      <c r="BM129" s="110"/>
      <c r="BN129" s="113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3"/>
      <c r="BY129" s="110"/>
      <c r="BZ129" s="110"/>
      <c r="CA129" s="110"/>
      <c r="CB129" s="110"/>
      <c r="CC129" s="110"/>
      <c r="CD129" s="110"/>
      <c r="CE129" s="110"/>
      <c r="CF129" s="110"/>
      <c r="CG129" s="113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66"/>
      <c r="DA129" s="70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56"/>
      <c r="DR129" s="57"/>
      <c r="DS129" s="58"/>
      <c r="DT129" s="58"/>
      <c r="DU129" s="58"/>
      <c r="DV129" s="58"/>
      <c r="DW129" s="58"/>
      <c r="DX129" s="58"/>
      <c r="DY129" s="58"/>
      <c r="DZ129" s="59"/>
      <c r="EA129" s="60"/>
      <c r="EB129" s="61"/>
      <c r="EC129" s="62"/>
      <c r="ED129" s="2"/>
      <c r="EE129" s="63"/>
      <c r="EF129" s="63"/>
      <c r="EG129" s="63"/>
      <c r="EH129" s="63"/>
      <c r="EI129" s="63"/>
      <c r="EJ129" s="63"/>
      <c r="EK129" s="63"/>
      <c r="EL129" s="63"/>
      <c r="EM129" s="63"/>
      <c r="EN129" s="63"/>
      <c r="EO129" s="63"/>
      <c r="EP129" s="63"/>
      <c r="EQ129" s="63"/>
      <c r="ER129" s="63"/>
      <c r="ES129" s="63"/>
      <c r="ET129" s="63"/>
      <c r="EU129" s="80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5"/>
      <c r="FH129" s="84"/>
      <c r="FI129" s="64"/>
      <c r="FJ129" s="8"/>
      <c r="FK129" s="48"/>
      <c r="FL129" s="48"/>
      <c r="FM129" s="48"/>
      <c r="FN129" s="48"/>
      <c r="FO129" s="48"/>
      <c r="FP129" s="48"/>
      <c r="FQ129" s="48"/>
      <c r="FR129" s="48"/>
      <c r="FS129" s="48"/>
      <c r="FT129" s="48"/>
      <c r="FU129" s="48"/>
      <c r="FV129" s="48"/>
      <c r="FW129" s="48"/>
      <c r="FX129" s="48"/>
      <c r="FY129" s="48"/>
      <c r="FZ129" s="48"/>
      <c r="GA129" s="48"/>
      <c r="GB129" s="48"/>
      <c r="GC129" s="48"/>
      <c r="GD129" s="48"/>
      <c r="GE129" s="48"/>
      <c r="GF129" s="48"/>
      <c r="GG129" s="48"/>
      <c r="GH129" s="48"/>
      <c r="GI129" s="48"/>
      <c r="GJ129" s="8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77"/>
      <c r="GY129" s="77"/>
      <c r="GZ129" s="77"/>
    </row>
    <row r="130" spans="1:208">
      <c r="A130" s="48"/>
      <c r="B130" s="49"/>
      <c r="C130" s="50"/>
      <c r="D130" s="51"/>
      <c r="E130" s="50"/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90"/>
      <c r="V130" s="91"/>
      <c r="W130" s="92"/>
      <c r="X130" s="92"/>
      <c r="Y130" s="92"/>
      <c r="Z130" s="91"/>
      <c r="AA130" s="93"/>
      <c r="AB130" s="99"/>
      <c r="AC130" s="54"/>
      <c r="AD130" s="54"/>
      <c r="AE130" s="54"/>
      <c r="AF130" s="54"/>
      <c r="AG130" s="54"/>
      <c r="AH130" s="54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113"/>
      <c r="BB130" s="110"/>
      <c r="BC130" s="110"/>
      <c r="BD130" s="110"/>
      <c r="BE130" s="110"/>
      <c r="BF130" s="110"/>
      <c r="BG130" s="110"/>
      <c r="BH130" s="110"/>
      <c r="BI130" s="113"/>
      <c r="BJ130" s="110"/>
      <c r="BK130" s="110"/>
      <c r="BL130" s="110"/>
      <c r="BM130" s="110"/>
      <c r="BN130" s="113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3"/>
      <c r="BY130" s="110"/>
      <c r="BZ130" s="110"/>
      <c r="CA130" s="110"/>
      <c r="CB130" s="110"/>
      <c r="CC130" s="110"/>
      <c r="CD130" s="110"/>
      <c r="CE130" s="110"/>
      <c r="CF130" s="110"/>
      <c r="CG130" s="113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66"/>
      <c r="DA130" s="70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56"/>
      <c r="DR130" s="57"/>
      <c r="DS130" s="58"/>
      <c r="DT130" s="58"/>
      <c r="DU130" s="58"/>
      <c r="DV130" s="58"/>
      <c r="DW130" s="58"/>
      <c r="DX130" s="58"/>
      <c r="DY130" s="58"/>
      <c r="DZ130" s="59"/>
      <c r="EA130" s="60"/>
      <c r="EB130" s="61"/>
      <c r="EC130" s="62"/>
      <c r="ED130" s="2"/>
      <c r="EE130" s="63"/>
      <c r="EF130" s="63"/>
      <c r="EG130" s="63"/>
      <c r="EH130" s="63"/>
      <c r="EI130" s="63"/>
      <c r="EJ130" s="63"/>
      <c r="EK130" s="63"/>
      <c r="EL130" s="63"/>
      <c r="EM130" s="63"/>
      <c r="EN130" s="63"/>
      <c r="EO130" s="63"/>
      <c r="EP130" s="63"/>
      <c r="EQ130" s="63"/>
      <c r="ER130" s="63"/>
      <c r="ES130" s="63"/>
      <c r="ET130" s="63"/>
      <c r="EU130" s="80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5"/>
      <c r="FH130" s="84"/>
      <c r="FI130" s="64"/>
      <c r="FJ130" s="8"/>
      <c r="FK130" s="48"/>
      <c r="FL130" s="48"/>
      <c r="FM130" s="48"/>
      <c r="FN130" s="48"/>
      <c r="FO130" s="48"/>
      <c r="FP130" s="48"/>
      <c r="FQ130" s="48"/>
      <c r="FR130" s="48"/>
      <c r="FS130" s="48"/>
      <c r="FT130" s="48"/>
      <c r="FU130" s="48"/>
      <c r="FV130" s="48"/>
      <c r="FW130" s="48"/>
      <c r="FX130" s="48"/>
      <c r="FY130" s="48"/>
      <c r="FZ130" s="48"/>
      <c r="GA130" s="48"/>
      <c r="GB130" s="48"/>
      <c r="GC130" s="48"/>
      <c r="GD130" s="48"/>
      <c r="GE130" s="48"/>
      <c r="GF130" s="48"/>
      <c r="GG130" s="48"/>
      <c r="GH130" s="48"/>
      <c r="GI130" s="48"/>
      <c r="GJ130" s="8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77"/>
      <c r="GY130" s="77"/>
      <c r="GZ130" s="77"/>
    </row>
    <row r="131" spans="1:208">
      <c r="A131" s="48"/>
      <c r="B131" s="49"/>
      <c r="C131" s="50"/>
      <c r="D131" s="51"/>
      <c r="E131" s="50"/>
      <c r="F131" s="52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90"/>
      <c r="V131" s="91"/>
      <c r="W131" s="92"/>
      <c r="X131" s="92"/>
      <c r="Y131" s="92"/>
      <c r="Z131" s="91"/>
      <c r="AA131" s="93"/>
      <c r="AB131" s="99"/>
      <c r="AC131" s="54"/>
      <c r="AD131" s="54"/>
      <c r="AE131" s="54"/>
      <c r="AF131" s="54"/>
      <c r="AG131" s="54"/>
      <c r="AH131" s="54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113"/>
      <c r="BB131" s="110"/>
      <c r="BC131" s="110"/>
      <c r="BD131" s="110"/>
      <c r="BE131" s="110"/>
      <c r="BF131" s="110"/>
      <c r="BG131" s="110"/>
      <c r="BH131" s="110"/>
      <c r="BI131" s="113"/>
      <c r="BJ131" s="110"/>
      <c r="BK131" s="110"/>
      <c r="BL131" s="110"/>
      <c r="BM131" s="110"/>
      <c r="BN131" s="113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3"/>
      <c r="BY131" s="110"/>
      <c r="BZ131" s="110"/>
      <c r="CA131" s="110"/>
      <c r="CB131" s="110"/>
      <c r="CC131" s="110"/>
      <c r="CD131" s="110"/>
      <c r="CE131" s="110"/>
      <c r="CF131" s="110"/>
      <c r="CG131" s="113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66"/>
      <c r="DA131" s="70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56"/>
      <c r="DR131" s="57"/>
      <c r="DS131" s="58"/>
      <c r="DT131" s="58"/>
      <c r="DU131" s="58"/>
      <c r="DV131" s="58"/>
      <c r="DW131" s="58"/>
      <c r="DX131" s="58"/>
      <c r="DY131" s="58"/>
      <c r="DZ131" s="59"/>
      <c r="EA131" s="60"/>
      <c r="EB131" s="61"/>
      <c r="EC131" s="62"/>
      <c r="ED131" s="2"/>
      <c r="EE131" s="63"/>
      <c r="EF131" s="63"/>
      <c r="EG131" s="63"/>
      <c r="EH131" s="63"/>
      <c r="EI131" s="63"/>
      <c r="EJ131" s="63"/>
      <c r="EK131" s="63"/>
      <c r="EL131" s="63"/>
      <c r="EM131" s="63"/>
      <c r="EN131" s="63"/>
      <c r="EO131" s="63"/>
      <c r="EP131" s="63"/>
      <c r="EQ131" s="63"/>
      <c r="ER131" s="63"/>
      <c r="ES131" s="63"/>
      <c r="ET131" s="63"/>
      <c r="EU131" s="80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5"/>
      <c r="FH131" s="84"/>
      <c r="FI131" s="64"/>
      <c r="FJ131" s="8"/>
      <c r="FK131" s="48"/>
      <c r="FL131" s="48"/>
      <c r="FM131" s="48"/>
      <c r="FN131" s="48"/>
      <c r="FO131" s="48"/>
      <c r="FP131" s="48"/>
      <c r="FQ131" s="48"/>
      <c r="FR131" s="48"/>
      <c r="FS131" s="48"/>
      <c r="FT131" s="48"/>
      <c r="FU131" s="48"/>
      <c r="FV131" s="48"/>
      <c r="FW131" s="48"/>
      <c r="FX131" s="48"/>
      <c r="FY131" s="48"/>
      <c r="FZ131" s="48"/>
      <c r="GA131" s="48"/>
      <c r="GB131" s="48"/>
      <c r="GC131" s="48"/>
      <c r="GD131" s="48"/>
      <c r="GE131" s="48"/>
      <c r="GF131" s="48"/>
      <c r="GG131" s="48"/>
      <c r="GH131" s="48"/>
      <c r="GI131" s="48"/>
      <c r="GJ131" s="8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77"/>
      <c r="GY131" s="77"/>
      <c r="GZ131" s="77"/>
    </row>
    <row r="132" spans="1:208">
      <c r="A132" s="48"/>
      <c r="B132" s="49"/>
      <c r="C132" s="50"/>
      <c r="D132" s="51"/>
      <c r="E132" s="50"/>
      <c r="F132" s="52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90"/>
      <c r="V132" s="91"/>
      <c r="W132" s="92"/>
      <c r="X132" s="92"/>
      <c r="Y132" s="92"/>
      <c r="Z132" s="91"/>
      <c r="AA132" s="93"/>
      <c r="AB132" s="99"/>
      <c r="AC132" s="54"/>
      <c r="AD132" s="54"/>
      <c r="AE132" s="54"/>
      <c r="AF132" s="54"/>
      <c r="AG132" s="54"/>
      <c r="AH132" s="54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113"/>
      <c r="BB132" s="110"/>
      <c r="BC132" s="110"/>
      <c r="BD132" s="110"/>
      <c r="BE132" s="110"/>
      <c r="BF132" s="110"/>
      <c r="BG132" s="110"/>
      <c r="BH132" s="110"/>
      <c r="BI132" s="113"/>
      <c r="BJ132" s="110"/>
      <c r="BK132" s="110"/>
      <c r="BL132" s="110"/>
      <c r="BM132" s="110"/>
      <c r="BN132" s="113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3"/>
      <c r="BY132" s="110"/>
      <c r="BZ132" s="110"/>
      <c r="CA132" s="110"/>
      <c r="CB132" s="110"/>
      <c r="CC132" s="110"/>
      <c r="CD132" s="110"/>
      <c r="CE132" s="110"/>
      <c r="CF132" s="110"/>
      <c r="CG132" s="113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66"/>
      <c r="DA132" s="70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56"/>
      <c r="DR132" s="57"/>
      <c r="DS132" s="58"/>
      <c r="DT132" s="58"/>
      <c r="DU132" s="58"/>
      <c r="DV132" s="58"/>
      <c r="DW132" s="58"/>
      <c r="DX132" s="58"/>
      <c r="DY132" s="58"/>
      <c r="DZ132" s="59"/>
      <c r="EA132" s="60"/>
      <c r="EB132" s="61"/>
      <c r="EC132" s="62"/>
      <c r="ED132" s="2"/>
      <c r="EE132" s="63"/>
      <c r="EF132" s="63"/>
      <c r="EG132" s="63"/>
      <c r="EH132" s="63"/>
      <c r="EI132" s="63"/>
      <c r="EJ132" s="63"/>
      <c r="EK132" s="63"/>
      <c r="EL132" s="63"/>
      <c r="EM132" s="63"/>
      <c r="EN132" s="63"/>
      <c r="EO132" s="63"/>
      <c r="EP132" s="63"/>
      <c r="EQ132" s="63"/>
      <c r="ER132" s="63"/>
      <c r="ES132" s="63"/>
      <c r="ET132" s="63"/>
      <c r="EU132" s="80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5"/>
      <c r="FH132" s="84"/>
      <c r="FI132" s="64"/>
      <c r="FJ132" s="8"/>
      <c r="FK132" s="48"/>
      <c r="FL132" s="48"/>
      <c r="FM132" s="48"/>
      <c r="FN132" s="48"/>
      <c r="FO132" s="48"/>
      <c r="FP132" s="48"/>
      <c r="FQ132" s="48"/>
      <c r="FR132" s="48"/>
      <c r="FS132" s="48"/>
      <c r="FT132" s="48"/>
      <c r="FU132" s="48"/>
      <c r="FV132" s="48"/>
      <c r="FW132" s="48"/>
      <c r="FX132" s="48"/>
      <c r="FY132" s="48"/>
      <c r="FZ132" s="48"/>
      <c r="GA132" s="48"/>
      <c r="GB132" s="48"/>
      <c r="GC132" s="48"/>
      <c r="GD132" s="48"/>
      <c r="GE132" s="48"/>
      <c r="GF132" s="48"/>
      <c r="GG132" s="48"/>
      <c r="GH132" s="48"/>
      <c r="GI132" s="48"/>
      <c r="GJ132" s="8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77"/>
      <c r="GY132" s="77"/>
      <c r="GZ132" s="77"/>
    </row>
    <row r="133" spans="1:208">
      <c r="A133" s="48"/>
      <c r="B133" s="49"/>
      <c r="C133" s="50"/>
      <c r="D133" s="51"/>
      <c r="E133" s="50"/>
      <c r="F133" s="52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90"/>
      <c r="V133" s="91"/>
      <c r="W133" s="92"/>
      <c r="X133" s="92"/>
      <c r="Y133" s="92"/>
      <c r="Z133" s="91"/>
      <c r="AA133" s="93"/>
      <c r="AB133" s="99"/>
      <c r="AC133" s="54"/>
      <c r="AD133" s="54"/>
      <c r="AE133" s="54"/>
      <c r="AF133" s="54"/>
      <c r="AG133" s="54"/>
      <c r="AH133" s="54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113"/>
      <c r="BB133" s="110"/>
      <c r="BC133" s="110"/>
      <c r="BD133" s="110"/>
      <c r="BE133" s="110"/>
      <c r="BF133" s="110"/>
      <c r="BG133" s="110"/>
      <c r="BH133" s="110"/>
      <c r="BI133" s="113"/>
      <c r="BJ133" s="110"/>
      <c r="BK133" s="110"/>
      <c r="BL133" s="110"/>
      <c r="BM133" s="110"/>
      <c r="BN133" s="113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3"/>
      <c r="BY133" s="110"/>
      <c r="BZ133" s="110"/>
      <c r="CA133" s="110"/>
      <c r="CB133" s="110"/>
      <c r="CC133" s="110"/>
      <c r="CD133" s="110"/>
      <c r="CE133" s="110"/>
      <c r="CF133" s="110"/>
      <c r="CG133" s="113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66"/>
      <c r="DA133" s="70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56"/>
      <c r="DR133" s="57"/>
      <c r="DS133" s="58"/>
      <c r="DT133" s="58"/>
      <c r="DU133" s="58"/>
      <c r="DV133" s="58"/>
      <c r="DW133" s="58"/>
      <c r="DX133" s="58"/>
      <c r="DY133" s="58"/>
      <c r="DZ133" s="59"/>
      <c r="EA133" s="60"/>
      <c r="EB133" s="61"/>
      <c r="EC133" s="62"/>
      <c r="ED133" s="2"/>
      <c r="EE133" s="63"/>
      <c r="EF133" s="63"/>
      <c r="EG133" s="63"/>
      <c r="EH133" s="63"/>
      <c r="EI133" s="63"/>
      <c r="EJ133" s="63"/>
      <c r="EK133" s="63"/>
      <c r="EL133" s="63"/>
      <c r="EM133" s="63"/>
      <c r="EN133" s="63"/>
      <c r="EO133" s="63"/>
      <c r="EP133" s="63"/>
      <c r="EQ133" s="63"/>
      <c r="ER133" s="63"/>
      <c r="ES133" s="63"/>
      <c r="ET133" s="63"/>
      <c r="EU133" s="80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5"/>
      <c r="FH133" s="84"/>
      <c r="FI133" s="64"/>
      <c r="FJ133" s="8"/>
      <c r="FK133" s="48"/>
      <c r="FL133" s="48"/>
      <c r="FM133" s="48"/>
      <c r="FN133" s="48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8"/>
      <c r="GG133" s="48"/>
      <c r="GH133" s="48"/>
      <c r="GI133" s="48"/>
      <c r="GJ133" s="8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77"/>
      <c r="GY133" s="77"/>
      <c r="GZ133" s="77"/>
    </row>
    <row r="134" spans="1:208">
      <c r="A134" s="48"/>
      <c r="B134" s="49"/>
      <c r="C134" s="50"/>
      <c r="D134" s="51"/>
      <c r="E134" s="50"/>
      <c r="F134" s="52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90"/>
      <c r="V134" s="91"/>
      <c r="W134" s="92"/>
      <c r="X134" s="92"/>
      <c r="Y134" s="92"/>
      <c r="Z134" s="91"/>
      <c r="AA134" s="93"/>
      <c r="AB134" s="99"/>
      <c r="AC134" s="54"/>
      <c r="AD134" s="54"/>
      <c r="AE134" s="54"/>
      <c r="AF134" s="54"/>
      <c r="AG134" s="54"/>
      <c r="AH134" s="54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113"/>
      <c r="BB134" s="110"/>
      <c r="BC134" s="110"/>
      <c r="BD134" s="110"/>
      <c r="BE134" s="110"/>
      <c r="BF134" s="110"/>
      <c r="BG134" s="110"/>
      <c r="BH134" s="110"/>
      <c r="BI134" s="113"/>
      <c r="BJ134" s="110"/>
      <c r="BK134" s="110"/>
      <c r="BL134" s="110"/>
      <c r="BM134" s="110"/>
      <c r="BN134" s="113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3"/>
      <c r="BY134" s="110"/>
      <c r="BZ134" s="110"/>
      <c r="CA134" s="110"/>
      <c r="CB134" s="110"/>
      <c r="CC134" s="110"/>
      <c r="CD134" s="110"/>
      <c r="CE134" s="110"/>
      <c r="CF134" s="110"/>
      <c r="CG134" s="113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66"/>
      <c r="DA134" s="70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56"/>
      <c r="DR134" s="57"/>
      <c r="DS134" s="58"/>
      <c r="DT134" s="58"/>
      <c r="DU134" s="58"/>
      <c r="DV134" s="58"/>
      <c r="DW134" s="58"/>
      <c r="DX134" s="58"/>
      <c r="DY134" s="58"/>
      <c r="DZ134" s="59"/>
      <c r="EA134" s="60"/>
      <c r="EB134" s="61"/>
      <c r="EC134" s="62"/>
      <c r="ED134" s="2"/>
      <c r="EE134" s="63"/>
      <c r="EF134" s="63"/>
      <c r="EG134" s="63"/>
      <c r="EH134" s="63"/>
      <c r="EI134" s="63"/>
      <c r="EJ134" s="63"/>
      <c r="EK134" s="63"/>
      <c r="EL134" s="63"/>
      <c r="EM134" s="63"/>
      <c r="EN134" s="63"/>
      <c r="EO134" s="63"/>
      <c r="EP134" s="63"/>
      <c r="EQ134" s="63"/>
      <c r="ER134" s="63"/>
      <c r="ES134" s="63"/>
      <c r="ET134" s="63"/>
      <c r="EU134" s="80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5"/>
      <c r="FH134" s="84"/>
      <c r="FI134" s="64"/>
      <c r="FJ134" s="8"/>
      <c r="FK134" s="48"/>
      <c r="FL134" s="48"/>
      <c r="FM134" s="48"/>
      <c r="FN134" s="48"/>
      <c r="FO134" s="48"/>
      <c r="FP134" s="48"/>
      <c r="FQ134" s="48"/>
      <c r="FR134" s="48"/>
      <c r="FS134" s="48"/>
      <c r="FT134" s="48"/>
      <c r="FU134" s="48"/>
      <c r="FV134" s="48"/>
      <c r="FW134" s="48"/>
      <c r="FX134" s="48"/>
      <c r="FY134" s="48"/>
      <c r="FZ134" s="48"/>
      <c r="GA134" s="48"/>
      <c r="GB134" s="48"/>
      <c r="GC134" s="48"/>
      <c r="GD134" s="48"/>
      <c r="GE134" s="48"/>
      <c r="GF134" s="48"/>
      <c r="GG134" s="48"/>
      <c r="GH134" s="48"/>
      <c r="GI134" s="48"/>
      <c r="GJ134" s="8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77"/>
      <c r="GY134" s="77"/>
      <c r="GZ134" s="77"/>
    </row>
    <row r="135" spans="1:208">
      <c r="A135" s="48"/>
      <c r="B135" s="49"/>
      <c r="C135" s="50"/>
      <c r="D135" s="51"/>
      <c r="E135" s="50"/>
      <c r="F135" s="52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90"/>
      <c r="V135" s="91"/>
      <c r="W135" s="92"/>
      <c r="X135" s="92"/>
      <c r="Y135" s="92"/>
      <c r="Z135" s="91"/>
      <c r="AA135" s="93"/>
      <c r="AB135" s="99"/>
      <c r="AC135" s="54"/>
      <c r="AD135" s="54"/>
      <c r="AE135" s="54"/>
      <c r="AF135" s="54"/>
      <c r="AG135" s="54"/>
      <c r="AH135" s="54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113"/>
      <c r="BB135" s="110"/>
      <c r="BC135" s="110"/>
      <c r="BD135" s="110"/>
      <c r="BE135" s="110"/>
      <c r="BF135" s="110"/>
      <c r="BG135" s="110"/>
      <c r="BH135" s="110"/>
      <c r="BI135" s="113"/>
      <c r="BJ135" s="110"/>
      <c r="BK135" s="110"/>
      <c r="BL135" s="110"/>
      <c r="BM135" s="110"/>
      <c r="BN135" s="113"/>
      <c r="BO135" s="110"/>
      <c r="BP135" s="110"/>
      <c r="BQ135" s="110"/>
      <c r="BR135" s="110"/>
      <c r="BS135" s="110"/>
      <c r="BT135" s="110"/>
      <c r="BU135" s="110"/>
      <c r="BV135" s="110"/>
      <c r="BW135" s="110"/>
      <c r="BX135" s="113"/>
      <c r="BY135" s="110"/>
      <c r="BZ135" s="110"/>
      <c r="CA135" s="110"/>
      <c r="CB135" s="110"/>
      <c r="CC135" s="110"/>
      <c r="CD135" s="110"/>
      <c r="CE135" s="110"/>
      <c r="CF135" s="110"/>
      <c r="CG135" s="113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66"/>
      <c r="DA135" s="70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56"/>
      <c r="DR135" s="57"/>
      <c r="DS135" s="58"/>
      <c r="DT135" s="58"/>
      <c r="DU135" s="58"/>
      <c r="DV135" s="58"/>
      <c r="DW135" s="58"/>
      <c r="DX135" s="58"/>
      <c r="DY135" s="58"/>
      <c r="DZ135" s="59"/>
      <c r="EA135" s="60"/>
      <c r="EB135" s="61"/>
      <c r="EC135" s="62"/>
      <c r="ED135" s="2"/>
      <c r="EE135" s="63"/>
      <c r="EF135" s="63"/>
      <c r="EG135" s="63"/>
      <c r="EH135" s="63"/>
      <c r="EI135" s="63"/>
      <c r="EJ135" s="63"/>
      <c r="EK135" s="63"/>
      <c r="EL135" s="63"/>
      <c r="EM135" s="63"/>
      <c r="EN135" s="63"/>
      <c r="EO135" s="63"/>
      <c r="EP135" s="63"/>
      <c r="EQ135" s="63"/>
      <c r="ER135" s="63"/>
      <c r="ES135" s="63"/>
      <c r="ET135" s="63"/>
      <c r="EU135" s="80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5"/>
      <c r="FH135" s="84"/>
      <c r="FI135" s="64"/>
      <c r="FJ135" s="8"/>
      <c r="FK135" s="48"/>
      <c r="FL135" s="48"/>
      <c r="FM135" s="48"/>
      <c r="FN135" s="48"/>
      <c r="FO135" s="48"/>
      <c r="FP135" s="48"/>
      <c r="FQ135" s="48"/>
      <c r="FR135" s="48"/>
      <c r="FS135" s="48"/>
      <c r="FT135" s="48"/>
      <c r="FU135" s="48"/>
      <c r="FV135" s="48"/>
      <c r="FW135" s="48"/>
      <c r="FX135" s="48"/>
      <c r="FY135" s="48"/>
      <c r="FZ135" s="48"/>
      <c r="GA135" s="48"/>
      <c r="GB135" s="48"/>
      <c r="GC135" s="48"/>
      <c r="GD135" s="48"/>
      <c r="GE135" s="48"/>
      <c r="GF135" s="48"/>
      <c r="GG135" s="48"/>
      <c r="GH135" s="48"/>
      <c r="GI135" s="48"/>
      <c r="GJ135" s="8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77"/>
      <c r="GY135" s="77"/>
      <c r="GZ135" s="77"/>
    </row>
    <row r="136" spans="1:208">
      <c r="A136" s="48"/>
      <c r="B136" s="49"/>
      <c r="C136" s="50"/>
      <c r="D136" s="51"/>
      <c r="E136" s="50"/>
      <c r="F136" s="52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90"/>
      <c r="V136" s="91"/>
      <c r="W136" s="92"/>
      <c r="X136" s="92"/>
      <c r="Y136" s="92"/>
      <c r="Z136" s="91"/>
      <c r="AA136" s="93"/>
      <c r="AB136" s="99"/>
      <c r="AC136" s="54"/>
      <c r="AD136" s="54"/>
      <c r="AE136" s="54"/>
      <c r="AF136" s="54"/>
      <c r="AG136" s="54"/>
      <c r="AH136" s="54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113"/>
      <c r="BB136" s="110"/>
      <c r="BC136" s="110"/>
      <c r="BD136" s="110"/>
      <c r="BE136" s="110"/>
      <c r="BF136" s="110"/>
      <c r="BG136" s="110"/>
      <c r="BH136" s="110"/>
      <c r="BI136" s="113"/>
      <c r="BJ136" s="110"/>
      <c r="BK136" s="110"/>
      <c r="BL136" s="110"/>
      <c r="BM136" s="110"/>
      <c r="BN136" s="113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3"/>
      <c r="BY136" s="110"/>
      <c r="BZ136" s="110"/>
      <c r="CA136" s="110"/>
      <c r="CB136" s="110"/>
      <c r="CC136" s="110"/>
      <c r="CD136" s="110"/>
      <c r="CE136" s="110"/>
      <c r="CF136" s="110"/>
      <c r="CG136" s="113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66"/>
      <c r="DA136" s="70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56"/>
      <c r="DR136" s="57"/>
      <c r="DS136" s="58"/>
      <c r="DT136" s="58"/>
      <c r="DU136" s="58"/>
      <c r="DV136" s="58"/>
      <c r="DW136" s="58"/>
      <c r="DX136" s="58"/>
      <c r="DY136" s="58"/>
      <c r="DZ136" s="59"/>
      <c r="EA136" s="60"/>
      <c r="EB136" s="61"/>
      <c r="EC136" s="62"/>
      <c r="ED136" s="2"/>
      <c r="EE136" s="63"/>
      <c r="EF136" s="63"/>
      <c r="EG136" s="63"/>
      <c r="EH136" s="63"/>
      <c r="EI136" s="63"/>
      <c r="EJ136" s="63"/>
      <c r="EK136" s="63"/>
      <c r="EL136" s="63"/>
      <c r="EM136" s="63"/>
      <c r="EN136" s="63"/>
      <c r="EO136" s="63"/>
      <c r="EP136" s="63"/>
      <c r="EQ136" s="63"/>
      <c r="ER136" s="63"/>
      <c r="ES136" s="63"/>
      <c r="ET136" s="63"/>
      <c r="EU136" s="80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5"/>
      <c r="FH136" s="84"/>
      <c r="FI136" s="64"/>
      <c r="FJ136" s="8"/>
      <c r="FK136" s="48"/>
      <c r="FL136" s="48"/>
      <c r="FM136" s="48"/>
      <c r="FN136" s="48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8"/>
      <c r="GG136" s="48"/>
      <c r="GH136" s="48"/>
      <c r="GI136" s="48"/>
      <c r="GJ136" s="8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77"/>
      <c r="GY136" s="77"/>
      <c r="GZ136" s="77"/>
    </row>
    <row r="137" spans="1:208">
      <c r="A137" s="48"/>
      <c r="B137" s="49"/>
      <c r="C137" s="50"/>
      <c r="D137" s="51"/>
      <c r="E137" s="50"/>
      <c r="F137" s="52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90"/>
      <c r="V137" s="91"/>
      <c r="W137" s="92"/>
      <c r="X137" s="92"/>
      <c r="Y137" s="92"/>
      <c r="Z137" s="91"/>
      <c r="AA137" s="93"/>
      <c r="AB137" s="99"/>
      <c r="AC137" s="54"/>
      <c r="AD137" s="54"/>
      <c r="AE137" s="54"/>
      <c r="AF137" s="54"/>
      <c r="AG137" s="54"/>
      <c r="AH137" s="54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113"/>
      <c r="BB137" s="110"/>
      <c r="BC137" s="110"/>
      <c r="BD137" s="110"/>
      <c r="BE137" s="110"/>
      <c r="BF137" s="110"/>
      <c r="BG137" s="110"/>
      <c r="BH137" s="110"/>
      <c r="BI137" s="113"/>
      <c r="BJ137" s="110"/>
      <c r="BK137" s="110"/>
      <c r="BL137" s="110"/>
      <c r="BM137" s="110"/>
      <c r="BN137" s="113"/>
      <c r="BO137" s="110"/>
      <c r="BP137" s="110"/>
      <c r="BQ137" s="110"/>
      <c r="BR137" s="110"/>
      <c r="BS137" s="110"/>
      <c r="BT137" s="110"/>
      <c r="BU137" s="110"/>
      <c r="BV137" s="110"/>
      <c r="BW137" s="110"/>
      <c r="BX137" s="113"/>
      <c r="BY137" s="110"/>
      <c r="BZ137" s="110"/>
      <c r="CA137" s="110"/>
      <c r="CB137" s="110"/>
      <c r="CC137" s="110"/>
      <c r="CD137" s="110"/>
      <c r="CE137" s="110"/>
      <c r="CF137" s="110"/>
      <c r="CG137" s="113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66"/>
      <c r="DA137" s="70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56"/>
      <c r="DR137" s="57"/>
      <c r="DS137" s="58"/>
      <c r="DT137" s="58"/>
      <c r="DU137" s="58"/>
      <c r="DV137" s="58"/>
      <c r="DW137" s="58"/>
      <c r="DX137" s="58"/>
      <c r="DY137" s="58"/>
      <c r="DZ137" s="59"/>
      <c r="EA137" s="60"/>
      <c r="EB137" s="61"/>
      <c r="EC137" s="62"/>
      <c r="ED137" s="2"/>
      <c r="EE137" s="63"/>
      <c r="EF137" s="63"/>
      <c r="EG137" s="63"/>
      <c r="EH137" s="63"/>
      <c r="EI137" s="63"/>
      <c r="EJ137" s="63"/>
      <c r="EK137" s="63"/>
      <c r="EL137" s="63"/>
      <c r="EM137" s="63"/>
      <c r="EN137" s="63"/>
      <c r="EO137" s="63"/>
      <c r="EP137" s="63"/>
      <c r="EQ137" s="63"/>
      <c r="ER137" s="63"/>
      <c r="ES137" s="63"/>
      <c r="ET137" s="63"/>
      <c r="EU137" s="80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5"/>
      <c r="FH137" s="84"/>
      <c r="FI137" s="64"/>
      <c r="FJ137" s="8"/>
      <c r="FK137" s="48"/>
      <c r="FL137" s="48"/>
      <c r="FM137" s="48"/>
      <c r="FN137" s="48"/>
      <c r="FO137" s="48"/>
      <c r="FP137" s="48"/>
      <c r="FQ137" s="48"/>
      <c r="FR137" s="48"/>
      <c r="FS137" s="48"/>
      <c r="FT137" s="48"/>
      <c r="FU137" s="48"/>
      <c r="FV137" s="48"/>
      <c r="FW137" s="48"/>
      <c r="FX137" s="48"/>
      <c r="FY137" s="48"/>
      <c r="FZ137" s="48"/>
      <c r="GA137" s="48"/>
      <c r="GB137" s="48"/>
      <c r="GC137" s="48"/>
      <c r="GD137" s="48"/>
      <c r="GE137" s="48"/>
      <c r="GF137" s="48"/>
      <c r="GG137" s="48"/>
      <c r="GH137" s="48"/>
      <c r="GI137" s="48"/>
      <c r="GJ137" s="8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77"/>
      <c r="GY137" s="77"/>
      <c r="GZ137" s="77"/>
    </row>
    <row r="138" spans="1:208">
      <c r="A138" s="48"/>
      <c r="B138" s="49"/>
      <c r="C138" s="50"/>
      <c r="D138" s="51"/>
      <c r="E138" s="50"/>
      <c r="F138" s="52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90"/>
      <c r="V138" s="91"/>
      <c r="W138" s="92"/>
      <c r="X138" s="92"/>
      <c r="Y138" s="92"/>
      <c r="Z138" s="91"/>
      <c r="AA138" s="93"/>
      <c r="AB138" s="99"/>
      <c r="AC138" s="54"/>
      <c r="AD138" s="54"/>
      <c r="AE138" s="54"/>
      <c r="AF138" s="54"/>
      <c r="AG138" s="54"/>
      <c r="AH138" s="54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113"/>
      <c r="BB138" s="110"/>
      <c r="BC138" s="110"/>
      <c r="BD138" s="110"/>
      <c r="BE138" s="110"/>
      <c r="BF138" s="110"/>
      <c r="BG138" s="110"/>
      <c r="BH138" s="110"/>
      <c r="BI138" s="113"/>
      <c r="BJ138" s="110"/>
      <c r="BK138" s="110"/>
      <c r="BL138" s="110"/>
      <c r="BM138" s="110"/>
      <c r="BN138" s="113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3"/>
      <c r="BY138" s="110"/>
      <c r="BZ138" s="110"/>
      <c r="CA138" s="110"/>
      <c r="CB138" s="110"/>
      <c r="CC138" s="110"/>
      <c r="CD138" s="110"/>
      <c r="CE138" s="110"/>
      <c r="CF138" s="110"/>
      <c r="CG138" s="113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66"/>
      <c r="DA138" s="70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56"/>
      <c r="DR138" s="57"/>
      <c r="DS138" s="58"/>
      <c r="DT138" s="58"/>
      <c r="DU138" s="58"/>
      <c r="DV138" s="58"/>
      <c r="DW138" s="58"/>
      <c r="DX138" s="58"/>
      <c r="DY138" s="58"/>
      <c r="DZ138" s="59"/>
      <c r="EA138" s="60"/>
      <c r="EB138" s="61"/>
      <c r="EC138" s="62"/>
      <c r="ED138" s="2"/>
      <c r="EE138" s="63"/>
      <c r="EF138" s="63"/>
      <c r="EG138" s="63"/>
      <c r="EH138" s="63"/>
      <c r="EI138" s="63"/>
      <c r="EJ138" s="63"/>
      <c r="EK138" s="63"/>
      <c r="EL138" s="63"/>
      <c r="EM138" s="63"/>
      <c r="EN138" s="63"/>
      <c r="EO138" s="63"/>
      <c r="EP138" s="63"/>
      <c r="EQ138" s="63"/>
      <c r="ER138" s="63"/>
      <c r="ES138" s="63"/>
      <c r="ET138" s="63"/>
      <c r="EU138" s="80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5"/>
      <c r="FH138" s="84"/>
      <c r="FI138" s="64"/>
      <c r="FJ138" s="8"/>
      <c r="FK138" s="48"/>
      <c r="FL138" s="48"/>
      <c r="FM138" s="48"/>
      <c r="FN138" s="48"/>
      <c r="FO138" s="48"/>
      <c r="FP138" s="48"/>
      <c r="FQ138" s="48"/>
      <c r="FR138" s="48"/>
      <c r="FS138" s="48"/>
      <c r="FT138" s="48"/>
      <c r="FU138" s="48"/>
      <c r="FV138" s="48"/>
      <c r="FW138" s="48"/>
      <c r="FX138" s="48"/>
      <c r="FY138" s="48"/>
      <c r="FZ138" s="48"/>
      <c r="GA138" s="48"/>
      <c r="GB138" s="48"/>
      <c r="GC138" s="48"/>
      <c r="GD138" s="48"/>
      <c r="GE138" s="48"/>
      <c r="GF138" s="48"/>
      <c r="GG138" s="48"/>
      <c r="GH138" s="48"/>
      <c r="GI138" s="48"/>
      <c r="GJ138" s="8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77"/>
      <c r="GY138" s="77"/>
      <c r="GZ138" s="77"/>
    </row>
    <row r="139" spans="1:208">
      <c r="A139" s="48"/>
      <c r="B139" s="49"/>
      <c r="C139" s="50"/>
      <c r="D139" s="51"/>
      <c r="E139" s="50"/>
      <c r="F139" s="52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90"/>
      <c r="V139" s="91"/>
      <c r="W139" s="92"/>
      <c r="X139" s="92"/>
      <c r="Y139" s="92"/>
      <c r="Z139" s="91"/>
      <c r="AA139" s="93"/>
      <c r="AB139" s="99"/>
      <c r="AC139" s="54"/>
      <c r="AD139" s="54"/>
      <c r="AE139" s="54"/>
      <c r="AF139" s="54"/>
      <c r="AG139" s="54"/>
      <c r="AH139" s="54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113"/>
      <c r="BB139" s="110"/>
      <c r="BC139" s="110"/>
      <c r="BD139" s="110"/>
      <c r="BE139" s="110"/>
      <c r="BF139" s="110"/>
      <c r="BG139" s="110"/>
      <c r="BH139" s="110"/>
      <c r="BI139" s="113"/>
      <c r="BJ139" s="110"/>
      <c r="BK139" s="110"/>
      <c r="BL139" s="110"/>
      <c r="BM139" s="110"/>
      <c r="BN139" s="113"/>
      <c r="BO139" s="110"/>
      <c r="BP139" s="110"/>
      <c r="BQ139" s="110"/>
      <c r="BR139" s="110"/>
      <c r="BS139" s="110"/>
      <c r="BT139" s="110"/>
      <c r="BU139" s="110"/>
      <c r="BV139" s="110"/>
      <c r="BW139" s="110"/>
      <c r="BX139" s="113"/>
      <c r="BY139" s="110"/>
      <c r="BZ139" s="110"/>
      <c r="CA139" s="110"/>
      <c r="CB139" s="110"/>
      <c r="CC139" s="110"/>
      <c r="CD139" s="110"/>
      <c r="CE139" s="110"/>
      <c r="CF139" s="110"/>
      <c r="CG139" s="113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66"/>
      <c r="DA139" s="70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56"/>
      <c r="DR139" s="57"/>
      <c r="DS139" s="58"/>
      <c r="DT139" s="58"/>
      <c r="DU139" s="58"/>
      <c r="DV139" s="58"/>
      <c r="DW139" s="58"/>
      <c r="DX139" s="58"/>
      <c r="DY139" s="58"/>
      <c r="DZ139" s="59"/>
      <c r="EA139" s="60"/>
      <c r="EB139" s="61"/>
      <c r="EC139" s="62"/>
      <c r="ED139" s="2"/>
      <c r="EE139" s="63"/>
      <c r="EF139" s="63"/>
      <c r="EG139" s="63"/>
      <c r="EH139" s="63"/>
      <c r="EI139" s="63"/>
      <c r="EJ139" s="63"/>
      <c r="EK139" s="63"/>
      <c r="EL139" s="63"/>
      <c r="EM139" s="63"/>
      <c r="EN139" s="63"/>
      <c r="EO139" s="63"/>
      <c r="EP139" s="63"/>
      <c r="EQ139" s="63"/>
      <c r="ER139" s="63"/>
      <c r="ES139" s="63"/>
      <c r="ET139" s="63"/>
      <c r="EU139" s="80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5"/>
      <c r="FH139" s="84"/>
      <c r="FI139" s="64"/>
      <c r="FJ139" s="8"/>
      <c r="FK139" s="48"/>
      <c r="FL139" s="48"/>
      <c r="FM139" s="48"/>
      <c r="FN139" s="48"/>
      <c r="FO139" s="48"/>
      <c r="FP139" s="48"/>
      <c r="FQ139" s="48"/>
      <c r="FR139" s="48"/>
      <c r="FS139" s="48"/>
      <c r="FT139" s="48"/>
      <c r="FU139" s="48"/>
      <c r="FV139" s="48"/>
      <c r="FW139" s="48"/>
      <c r="FX139" s="48"/>
      <c r="FY139" s="48"/>
      <c r="FZ139" s="48"/>
      <c r="GA139" s="48"/>
      <c r="GB139" s="48"/>
      <c r="GC139" s="48"/>
      <c r="GD139" s="48"/>
      <c r="GE139" s="48"/>
      <c r="GF139" s="48"/>
      <c r="GG139" s="48"/>
      <c r="GH139" s="48"/>
      <c r="GI139" s="48"/>
      <c r="GJ139" s="8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77"/>
      <c r="GY139" s="77"/>
      <c r="GZ139" s="77"/>
    </row>
    <row r="140" spans="1:208">
      <c r="A140" s="48"/>
      <c r="B140" s="49"/>
      <c r="C140" s="50"/>
      <c r="D140" s="51"/>
      <c r="E140" s="50"/>
      <c r="F140" s="52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90"/>
      <c r="V140" s="91"/>
      <c r="W140" s="92"/>
      <c r="X140" s="92"/>
      <c r="Y140" s="92"/>
      <c r="Z140" s="91"/>
      <c r="AA140" s="93"/>
      <c r="AB140" s="99"/>
      <c r="AC140" s="54"/>
      <c r="AD140" s="54"/>
      <c r="AE140" s="54"/>
      <c r="AF140" s="54"/>
      <c r="AG140" s="54"/>
      <c r="AH140" s="54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113"/>
      <c r="BB140" s="110"/>
      <c r="BC140" s="110"/>
      <c r="BD140" s="110"/>
      <c r="BE140" s="110"/>
      <c r="BF140" s="110"/>
      <c r="BG140" s="110"/>
      <c r="BH140" s="110"/>
      <c r="BI140" s="113"/>
      <c r="BJ140" s="110"/>
      <c r="BK140" s="110"/>
      <c r="BL140" s="110"/>
      <c r="BM140" s="110"/>
      <c r="BN140" s="113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3"/>
      <c r="BY140" s="110"/>
      <c r="BZ140" s="110"/>
      <c r="CA140" s="110"/>
      <c r="CB140" s="110"/>
      <c r="CC140" s="110"/>
      <c r="CD140" s="110"/>
      <c r="CE140" s="110"/>
      <c r="CF140" s="110"/>
      <c r="CG140" s="113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66"/>
      <c r="DA140" s="70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56"/>
      <c r="DR140" s="57"/>
      <c r="DS140" s="58"/>
      <c r="DT140" s="58"/>
      <c r="DU140" s="58"/>
      <c r="DV140" s="58"/>
      <c r="DW140" s="58"/>
      <c r="DX140" s="58"/>
      <c r="DY140" s="58"/>
      <c r="DZ140" s="59"/>
      <c r="EA140" s="60"/>
      <c r="EB140" s="61"/>
      <c r="EC140" s="62"/>
      <c r="ED140" s="2"/>
      <c r="EE140" s="63"/>
      <c r="EF140" s="63"/>
      <c r="EG140" s="63"/>
      <c r="EH140" s="63"/>
      <c r="EI140" s="63"/>
      <c r="EJ140" s="63"/>
      <c r="EK140" s="63"/>
      <c r="EL140" s="63"/>
      <c r="EM140" s="63"/>
      <c r="EN140" s="63"/>
      <c r="EO140" s="63"/>
      <c r="EP140" s="63"/>
      <c r="EQ140" s="63"/>
      <c r="ER140" s="63"/>
      <c r="ES140" s="63"/>
      <c r="ET140" s="63"/>
      <c r="EU140" s="80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5"/>
      <c r="FH140" s="84"/>
      <c r="FI140" s="64"/>
      <c r="FJ140" s="8"/>
      <c r="FK140" s="48"/>
      <c r="FL140" s="48"/>
      <c r="FM140" s="48"/>
      <c r="FN140" s="48"/>
      <c r="FO140" s="48"/>
      <c r="FP140" s="48"/>
      <c r="FQ140" s="48"/>
      <c r="FR140" s="48"/>
      <c r="FS140" s="48"/>
      <c r="FT140" s="48"/>
      <c r="FU140" s="48"/>
      <c r="FV140" s="48"/>
      <c r="FW140" s="48"/>
      <c r="FX140" s="48"/>
      <c r="FY140" s="48"/>
      <c r="FZ140" s="48"/>
      <c r="GA140" s="48"/>
      <c r="GB140" s="48"/>
      <c r="GC140" s="48"/>
      <c r="GD140" s="48"/>
      <c r="GE140" s="48"/>
      <c r="GF140" s="48"/>
      <c r="GG140" s="48"/>
      <c r="GH140" s="48"/>
      <c r="GI140" s="48"/>
      <c r="GJ140" s="8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77"/>
      <c r="GY140" s="77"/>
      <c r="GZ140" s="77"/>
    </row>
    <row r="141" spans="1:208">
      <c r="A141" s="48"/>
      <c r="B141" s="49"/>
      <c r="C141" s="50"/>
      <c r="D141" s="51"/>
      <c r="E141" s="50"/>
      <c r="F141" s="52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90"/>
      <c r="V141" s="91"/>
      <c r="W141" s="92"/>
      <c r="X141" s="92"/>
      <c r="Y141" s="92"/>
      <c r="Z141" s="91"/>
      <c r="AA141" s="93"/>
      <c r="AB141" s="99"/>
      <c r="AC141" s="54"/>
      <c r="AD141" s="54"/>
      <c r="AE141" s="54"/>
      <c r="AF141" s="54"/>
      <c r="AG141" s="54"/>
      <c r="AH141" s="54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113"/>
      <c r="BB141" s="110"/>
      <c r="BC141" s="110"/>
      <c r="BD141" s="110"/>
      <c r="BE141" s="110"/>
      <c r="BF141" s="110"/>
      <c r="BG141" s="110"/>
      <c r="BH141" s="110"/>
      <c r="BI141" s="113"/>
      <c r="BJ141" s="110"/>
      <c r="BK141" s="110"/>
      <c r="BL141" s="110"/>
      <c r="BM141" s="110"/>
      <c r="BN141" s="113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3"/>
      <c r="BY141" s="110"/>
      <c r="BZ141" s="110"/>
      <c r="CA141" s="110"/>
      <c r="CB141" s="110"/>
      <c r="CC141" s="110"/>
      <c r="CD141" s="110"/>
      <c r="CE141" s="110"/>
      <c r="CF141" s="110"/>
      <c r="CG141" s="113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66"/>
      <c r="DA141" s="70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56"/>
      <c r="DR141" s="57"/>
      <c r="DS141" s="58"/>
      <c r="DT141" s="58"/>
      <c r="DU141" s="58"/>
      <c r="DV141" s="58"/>
      <c r="DW141" s="58"/>
      <c r="DX141" s="58"/>
      <c r="DY141" s="58"/>
      <c r="DZ141" s="59"/>
      <c r="EA141" s="60"/>
      <c r="EB141" s="61"/>
      <c r="EC141" s="62"/>
      <c r="ED141" s="2"/>
      <c r="EE141" s="63"/>
      <c r="EF141" s="63"/>
      <c r="EG141" s="63"/>
      <c r="EH141" s="63"/>
      <c r="EI141" s="63"/>
      <c r="EJ141" s="63"/>
      <c r="EK141" s="63"/>
      <c r="EL141" s="63"/>
      <c r="EM141" s="63"/>
      <c r="EN141" s="63"/>
      <c r="EO141" s="63"/>
      <c r="EP141" s="63"/>
      <c r="EQ141" s="63"/>
      <c r="ER141" s="63"/>
      <c r="ES141" s="63"/>
      <c r="ET141" s="63"/>
      <c r="EU141" s="80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5"/>
      <c r="FH141" s="84"/>
      <c r="FI141" s="64"/>
      <c r="FJ141" s="8"/>
      <c r="FK141" s="48"/>
      <c r="FL141" s="48"/>
      <c r="FM141" s="48"/>
      <c r="FN141" s="48"/>
      <c r="FO141" s="48"/>
      <c r="FP141" s="48"/>
      <c r="FQ141" s="48"/>
      <c r="FR141" s="48"/>
      <c r="FS141" s="48"/>
      <c r="FT141" s="48"/>
      <c r="FU141" s="48"/>
      <c r="FV141" s="48"/>
      <c r="FW141" s="48"/>
      <c r="FX141" s="48"/>
      <c r="FY141" s="48"/>
      <c r="FZ141" s="48"/>
      <c r="GA141" s="48"/>
      <c r="GB141" s="48"/>
      <c r="GC141" s="48"/>
      <c r="GD141" s="48"/>
      <c r="GE141" s="48"/>
      <c r="GF141" s="48"/>
      <c r="GG141" s="48"/>
      <c r="GH141" s="48"/>
      <c r="GI141" s="48"/>
      <c r="GJ141" s="8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77"/>
      <c r="GY141" s="77"/>
      <c r="GZ141" s="77"/>
    </row>
    <row r="142" spans="1:208">
      <c r="A142" s="48"/>
      <c r="B142" s="49"/>
      <c r="C142" s="50"/>
      <c r="D142" s="51"/>
      <c r="E142" s="50"/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90"/>
      <c r="V142" s="91"/>
      <c r="W142" s="92"/>
      <c r="X142" s="92"/>
      <c r="Y142" s="92"/>
      <c r="Z142" s="91"/>
      <c r="AA142" s="93"/>
      <c r="AB142" s="99"/>
      <c r="AC142" s="54"/>
      <c r="AD142" s="54"/>
      <c r="AE142" s="54"/>
      <c r="AF142" s="54"/>
      <c r="AG142" s="54"/>
      <c r="AH142" s="54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113"/>
      <c r="BB142" s="110"/>
      <c r="BC142" s="110"/>
      <c r="BD142" s="110"/>
      <c r="BE142" s="110"/>
      <c r="BF142" s="110"/>
      <c r="BG142" s="110"/>
      <c r="BH142" s="110"/>
      <c r="BI142" s="113"/>
      <c r="BJ142" s="110"/>
      <c r="BK142" s="110"/>
      <c r="BL142" s="110"/>
      <c r="BM142" s="110"/>
      <c r="BN142" s="113"/>
      <c r="BO142" s="110"/>
      <c r="BP142" s="110"/>
      <c r="BQ142" s="110"/>
      <c r="BR142" s="110"/>
      <c r="BS142" s="110"/>
      <c r="BT142" s="110"/>
      <c r="BU142" s="110"/>
      <c r="BV142" s="110"/>
      <c r="BW142" s="110"/>
      <c r="BX142" s="113"/>
      <c r="BY142" s="110"/>
      <c r="BZ142" s="110"/>
      <c r="CA142" s="110"/>
      <c r="CB142" s="110"/>
      <c r="CC142" s="110"/>
      <c r="CD142" s="110"/>
      <c r="CE142" s="110"/>
      <c r="CF142" s="110"/>
      <c r="CG142" s="113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66"/>
      <c r="DA142" s="70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56"/>
      <c r="DR142" s="57"/>
      <c r="DS142" s="58"/>
      <c r="DT142" s="58"/>
      <c r="DU142" s="58"/>
      <c r="DV142" s="58"/>
      <c r="DW142" s="58"/>
      <c r="DX142" s="58"/>
      <c r="DY142" s="58"/>
      <c r="DZ142" s="59"/>
      <c r="EA142" s="60"/>
      <c r="EB142" s="61"/>
      <c r="EC142" s="62"/>
      <c r="ED142" s="2"/>
      <c r="EE142" s="63"/>
      <c r="EF142" s="63"/>
      <c r="EG142" s="63"/>
      <c r="EH142" s="63"/>
      <c r="EI142" s="63"/>
      <c r="EJ142" s="63"/>
      <c r="EK142" s="63"/>
      <c r="EL142" s="63"/>
      <c r="EM142" s="63"/>
      <c r="EN142" s="63"/>
      <c r="EO142" s="63"/>
      <c r="EP142" s="63"/>
      <c r="EQ142" s="63"/>
      <c r="ER142" s="63"/>
      <c r="ES142" s="63"/>
      <c r="ET142" s="63"/>
      <c r="EU142" s="80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5"/>
      <c r="FH142" s="84"/>
      <c r="FI142" s="64"/>
      <c r="FJ142" s="8"/>
      <c r="FK142" s="48"/>
      <c r="FL142" s="48"/>
      <c r="FM142" s="48"/>
      <c r="FN142" s="48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/>
      <c r="GC142" s="48"/>
      <c r="GD142" s="48"/>
      <c r="GE142" s="48"/>
      <c r="GF142" s="48"/>
      <c r="GG142" s="48"/>
      <c r="GH142" s="48"/>
      <c r="GI142" s="48"/>
      <c r="GJ142" s="8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77"/>
      <c r="GY142" s="77"/>
      <c r="GZ142" s="77"/>
    </row>
    <row r="143" spans="1:208">
      <c r="A143" s="48"/>
      <c r="B143" s="49"/>
      <c r="C143" s="50"/>
      <c r="D143" s="51"/>
      <c r="E143" s="50"/>
      <c r="F143" s="52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90"/>
      <c r="V143" s="91"/>
      <c r="W143" s="92"/>
      <c r="X143" s="92"/>
      <c r="Y143" s="92"/>
      <c r="Z143" s="91"/>
      <c r="AA143" s="93"/>
      <c r="AB143" s="99"/>
      <c r="AC143" s="54"/>
      <c r="AD143" s="54"/>
      <c r="AE143" s="54"/>
      <c r="AF143" s="54"/>
      <c r="AG143" s="54"/>
      <c r="AH143" s="54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113"/>
      <c r="BB143" s="110"/>
      <c r="BC143" s="110"/>
      <c r="BD143" s="110"/>
      <c r="BE143" s="110"/>
      <c r="BF143" s="110"/>
      <c r="BG143" s="110"/>
      <c r="BH143" s="110"/>
      <c r="BI143" s="113"/>
      <c r="BJ143" s="110"/>
      <c r="BK143" s="110"/>
      <c r="BL143" s="110"/>
      <c r="BM143" s="110"/>
      <c r="BN143" s="113"/>
      <c r="BO143" s="110"/>
      <c r="BP143" s="110"/>
      <c r="BQ143" s="110"/>
      <c r="BR143" s="110"/>
      <c r="BS143" s="110"/>
      <c r="BT143" s="110"/>
      <c r="BU143" s="110"/>
      <c r="BV143" s="110"/>
      <c r="BW143" s="110"/>
      <c r="BX143" s="113"/>
      <c r="BY143" s="110"/>
      <c r="BZ143" s="110"/>
      <c r="CA143" s="110"/>
      <c r="CB143" s="110"/>
      <c r="CC143" s="110"/>
      <c r="CD143" s="110"/>
      <c r="CE143" s="110"/>
      <c r="CF143" s="110"/>
      <c r="CG143" s="113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66"/>
      <c r="DA143" s="70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56"/>
      <c r="DR143" s="57"/>
      <c r="DS143" s="58"/>
      <c r="DT143" s="58"/>
      <c r="DU143" s="58"/>
      <c r="DV143" s="58"/>
      <c r="DW143" s="58"/>
      <c r="DX143" s="58"/>
      <c r="DY143" s="58"/>
      <c r="DZ143" s="59"/>
      <c r="EA143" s="60"/>
      <c r="EB143" s="61"/>
      <c r="EC143" s="62"/>
      <c r="ED143" s="2"/>
      <c r="EE143" s="63"/>
      <c r="EF143" s="63"/>
      <c r="EG143" s="63"/>
      <c r="EH143" s="63"/>
      <c r="EI143" s="63"/>
      <c r="EJ143" s="63"/>
      <c r="EK143" s="63"/>
      <c r="EL143" s="63"/>
      <c r="EM143" s="63"/>
      <c r="EN143" s="63"/>
      <c r="EO143" s="63"/>
      <c r="EP143" s="63"/>
      <c r="EQ143" s="63"/>
      <c r="ER143" s="63"/>
      <c r="ES143" s="63"/>
      <c r="ET143" s="63"/>
      <c r="EU143" s="80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5"/>
      <c r="FH143" s="84"/>
      <c r="FI143" s="64"/>
      <c r="FJ143" s="8"/>
      <c r="FK143" s="48"/>
      <c r="FL143" s="48"/>
      <c r="FM143" s="48"/>
      <c r="FN143" s="48"/>
      <c r="FO143" s="48"/>
      <c r="FP143" s="48"/>
      <c r="FQ143" s="48"/>
      <c r="FR143" s="48"/>
      <c r="FS143" s="48"/>
      <c r="FT143" s="48"/>
      <c r="FU143" s="48"/>
      <c r="FV143" s="48"/>
      <c r="FW143" s="48"/>
      <c r="FX143" s="48"/>
      <c r="FY143" s="48"/>
      <c r="FZ143" s="48"/>
      <c r="GA143" s="48"/>
      <c r="GB143" s="48"/>
      <c r="GC143" s="48"/>
      <c r="GD143" s="48"/>
      <c r="GE143" s="48"/>
      <c r="GF143" s="48"/>
      <c r="GG143" s="48"/>
      <c r="GH143" s="48"/>
      <c r="GI143" s="48"/>
      <c r="GJ143" s="8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77"/>
      <c r="GY143" s="77"/>
      <c r="GZ143" s="77"/>
    </row>
    <row r="144" spans="1:208">
      <c r="A144" s="48"/>
      <c r="B144" s="49"/>
      <c r="C144" s="50"/>
      <c r="D144" s="51"/>
      <c r="E144" s="50"/>
      <c r="F144" s="52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90"/>
      <c r="V144" s="91"/>
      <c r="W144" s="92"/>
      <c r="X144" s="92"/>
      <c r="Y144" s="92"/>
      <c r="Z144" s="91"/>
      <c r="AA144" s="93"/>
      <c r="AB144" s="99"/>
      <c r="AC144" s="54"/>
      <c r="AD144" s="54"/>
      <c r="AE144" s="54"/>
      <c r="AF144" s="54"/>
      <c r="AG144" s="54"/>
      <c r="AH144" s="54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113"/>
      <c r="BB144" s="110"/>
      <c r="BC144" s="110"/>
      <c r="BD144" s="110"/>
      <c r="BE144" s="110"/>
      <c r="BF144" s="110"/>
      <c r="BG144" s="110"/>
      <c r="BH144" s="110"/>
      <c r="BI144" s="113"/>
      <c r="BJ144" s="110"/>
      <c r="BK144" s="110"/>
      <c r="BL144" s="110"/>
      <c r="BM144" s="110"/>
      <c r="BN144" s="113"/>
      <c r="BO144" s="110"/>
      <c r="BP144" s="110"/>
      <c r="BQ144" s="110"/>
      <c r="BR144" s="110"/>
      <c r="BS144" s="110"/>
      <c r="BT144" s="110"/>
      <c r="BU144" s="110"/>
      <c r="BV144" s="110"/>
      <c r="BW144" s="110"/>
      <c r="BX144" s="113"/>
      <c r="BY144" s="110"/>
      <c r="BZ144" s="110"/>
      <c r="CA144" s="110"/>
      <c r="CB144" s="110"/>
      <c r="CC144" s="110"/>
      <c r="CD144" s="110"/>
      <c r="CE144" s="110"/>
      <c r="CF144" s="110"/>
      <c r="CG144" s="113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66"/>
      <c r="DA144" s="70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56"/>
      <c r="DR144" s="57"/>
      <c r="DS144" s="58"/>
      <c r="DT144" s="58"/>
      <c r="DU144" s="58"/>
      <c r="DV144" s="58"/>
      <c r="DW144" s="58"/>
      <c r="DX144" s="58"/>
      <c r="DY144" s="58"/>
      <c r="DZ144" s="59"/>
      <c r="EA144" s="60"/>
      <c r="EB144" s="61"/>
      <c r="EC144" s="62"/>
      <c r="ED144" s="2"/>
      <c r="EE144" s="63"/>
      <c r="EF144" s="63"/>
      <c r="EG144" s="63"/>
      <c r="EH144" s="63"/>
      <c r="EI144" s="63"/>
      <c r="EJ144" s="63"/>
      <c r="EK144" s="63"/>
      <c r="EL144" s="63"/>
      <c r="EM144" s="63"/>
      <c r="EN144" s="63"/>
      <c r="EO144" s="63"/>
      <c r="EP144" s="63"/>
      <c r="EQ144" s="63"/>
      <c r="ER144" s="63"/>
      <c r="ES144" s="63"/>
      <c r="ET144" s="63"/>
      <c r="EU144" s="80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5"/>
      <c r="FH144" s="84"/>
      <c r="FI144" s="64"/>
      <c r="FJ144" s="8"/>
      <c r="FK144" s="48"/>
      <c r="FL144" s="48"/>
      <c r="FM144" s="48"/>
      <c r="FN144" s="48"/>
      <c r="FO144" s="48"/>
      <c r="FP144" s="48"/>
      <c r="FQ144" s="48"/>
      <c r="FR144" s="48"/>
      <c r="FS144" s="48"/>
      <c r="FT144" s="48"/>
      <c r="FU144" s="48"/>
      <c r="FV144" s="48"/>
      <c r="FW144" s="48"/>
      <c r="FX144" s="48"/>
      <c r="FY144" s="48"/>
      <c r="FZ144" s="48"/>
      <c r="GA144" s="48"/>
      <c r="GB144" s="48"/>
      <c r="GC144" s="48"/>
      <c r="GD144" s="48"/>
      <c r="GE144" s="48"/>
      <c r="GF144" s="48"/>
      <c r="GG144" s="48"/>
      <c r="GH144" s="48"/>
      <c r="GI144" s="48"/>
      <c r="GJ144" s="8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77"/>
      <c r="GY144" s="77"/>
      <c r="GZ144" s="77"/>
    </row>
    <row r="145" spans="1:208">
      <c r="A145" s="48"/>
      <c r="B145" s="49"/>
      <c r="C145" s="50"/>
      <c r="D145" s="51"/>
      <c r="E145" s="50"/>
      <c r="F145" s="52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90"/>
      <c r="V145" s="91"/>
      <c r="W145" s="92"/>
      <c r="X145" s="92"/>
      <c r="Y145" s="92"/>
      <c r="Z145" s="91"/>
      <c r="AA145" s="93"/>
      <c r="AB145" s="99"/>
      <c r="AC145" s="54"/>
      <c r="AD145" s="54"/>
      <c r="AE145" s="54"/>
      <c r="AF145" s="54"/>
      <c r="AG145" s="54"/>
      <c r="AH145" s="54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113"/>
      <c r="BB145" s="110"/>
      <c r="BC145" s="110"/>
      <c r="BD145" s="110"/>
      <c r="BE145" s="110"/>
      <c r="BF145" s="110"/>
      <c r="BG145" s="110"/>
      <c r="BH145" s="110"/>
      <c r="BI145" s="113"/>
      <c r="BJ145" s="110"/>
      <c r="BK145" s="110"/>
      <c r="BL145" s="110"/>
      <c r="BM145" s="110"/>
      <c r="BN145" s="113"/>
      <c r="BO145" s="110"/>
      <c r="BP145" s="110"/>
      <c r="BQ145" s="110"/>
      <c r="BR145" s="110"/>
      <c r="BS145" s="110"/>
      <c r="BT145" s="110"/>
      <c r="BU145" s="110"/>
      <c r="BV145" s="110"/>
      <c r="BW145" s="110"/>
      <c r="BX145" s="113"/>
      <c r="BY145" s="110"/>
      <c r="BZ145" s="110"/>
      <c r="CA145" s="110"/>
      <c r="CB145" s="110"/>
      <c r="CC145" s="110"/>
      <c r="CD145" s="110"/>
      <c r="CE145" s="110"/>
      <c r="CF145" s="110"/>
      <c r="CG145" s="113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66"/>
      <c r="DA145" s="70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56"/>
      <c r="DR145" s="57"/>
      <c r="DS145" s="58"/>
      <c r="DT145" s="58"/>
      <c r="DU145" s="58"/>
      <c r="DV145" s="58"/>
      <c r="DW145" s="58"/>
      <c r="DX145" s="58"/>
      <c r="DY145" s="58"/>
      <c r="DZ145" s="59"/>
      <c r="EA145" s="60"/>
      <c r="EB145" s="61"/>
      <c r="EC145" s="62"/>
      <c r="ED145" s="2"/>
      <c r="EE145" s="63"/>
      <c r="EF145" s="63"/>
      <c r="EG145" s="63"/>
      <c r="EH145" s="63"/>
      <c r="EI145" s="63"/>
      <c r="EJ145" s="63"/>
      <c r="EK145" s="63"/>
      <c r="EL145" s="63"/>
      <c r="EM145" s="63"/>
      <c r="EN145" s="63"/>
      <c r="EO145" s="63"/>
      <c r="EP145" s="63"/>
      <c r="EQ145" s="63"/>
      <c r="ER145" s="63"/>
      <c r="ES145" s="63"/>
      <c r="ET145" s="63"/>
      <c r="EU145" s="80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5"/>
      <c r="FH145" s="84"/>
      <c r="FI145" s="64"/>
      <c r="FJ145" s="8"/>
      <c r="FK145" s="48"/>
      <c r="FL145" s="48"/>
      <c r="FM145" s="48"/>
      <c r="FN145" s="48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8"/>
      <c r="GG145" s="48"/>
      <c r="GH145" s="48"/>
      <c r="GI145" s="48"/>
      <c r="GJ145" s="8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77"/>
      <c r="GY145" s="77"/>
      <c r="GZ145" s="77"/>
    </row>
    <row r="146" spans="1:208">
      <c r="A146" s="48"/>
      <c r="B146" s="49"/>
      <c r="C146" s="50"/>
      <c r="D146" s="51"/>
      <c r="E146" s="50"/>
      <c r="F146" s="52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90"/>
      <c r="V146" s="91"/>
      <c r="W146" s="92"/>
      <c r="X146" s="92"/>
      <c r="Y146" s="92"/>
      <c r="Z146" s="91"/>
      <c r="AA146" s="93"/>
      <c r="AB146" s="99"/>
      <c r="AC146" s="54"/>
      <c r="AD146" s="54"/>
      <c r="AE146" s="54"/>
      <c r="AF146" s="54"/>
      <c r="AG146" s="54"/>
      <c r="AH146" s="54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113"/>
      <c r="BB146" s="110"/>
      <c r="BC146" s="110"/>
      <c r="BD146" s="110"/>
      <c r="BE146" s="110"/>
      <c r="BF146" s="110"/>
      <c r="BG146" s="110"/>
      <c r="BH146" s="110"/>
      <c r="BI146" s="113"/>
      <c r="BJ146" s="110"/>
      <c r="BK146" s="110"/>
      <c r="BL146" s="110"/>
      <c r="BM146" s="110"/>
      <c r="BN146" s="113"/>
      <c r="BO146" s="110"/>
      <c r="BP146" s="110"/>
      <c r="BQ146" s="110"/>
      <c r="BR146" s="110"/>
      <c r="BS146" s="110"/>
      <c r="BT146" s="110"/>
      <c r="BU146" s="110"/>
      <c r="BV146" s="110"/>
      <c r="BW146" s="110"/>
      <c r="BX146" s="113"/>
      <c r="BY146" s="110"/>
      <c r="BZ146" s="110"/>
      <c r="CA146" s="110"/>
      <c r="CB146" s="110"/>
      <c r="CC146" s="110"/>
      <c r="CD146" s="110"/>
      <c r="CE146" s="110"/>
      <c r="CF146" s="110"/>
      <c r="CG146" s="113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66"/>
      <c r="DA146" s="70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56"/>
      <c r="DR146" s="57"/>
      <c r="DS146" s="58"/>
      <c r="DT146" s="58"/>
      <c r="DU146" s="58"/>
      <c r="DV146" s="58"/>
      <c r="DW146" s="58"/>
      <c r="DX146" s="58"/>
      <c r="DY146" s="58"/>
      <c r="DZ146" s="59"/>
      <c r="EA146" s="60"/>
      <c r="EB146" s="61"/>
      <c r="EC146" s="62"/>
      <c r="ED146" s="2"/>
      <c r="EE146" s="63"/>
      <c r="EF146" s="63"/>
      <c r="EG146" s="63"/>
      <c r="EH146" s="63"/>
      <c r="EI146" s="63"/>
      <c r="EJ146" s="63"/>
      <c r="EK146" s="63"/>
      <c r="EL146" s="63"/>
      <c r="EM146" s="63"/>
      <c r="EN146" s="63"/>
      <c r="EO146" s="63"/>
      <c r="EP146" s="63"/>
      <c r="EQ146" s="63"/>
      <c r="ER146" s="63"/>
      <c r="ES146" s="63"/>
      <c r="ET146" s="63"/>
      <c r="EU146" s="80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5"/>
      <c r="FH146" s="84"/>
      <c r="FI146" s="64"/>
      <c r="FJ146" s="8"/>
      <c r="FK146" s="48"/>
      <c r="FL146" s="48"/>
      <c r="FM146" s="48"/>
      <c r="FN146" s="48"/>
      <c r="FO146" s="48"/>
      <c r="FP146" s="48"/>
      <c r="FQ146" s="48"/>
      <c r="FR146" s="48"/>
      <c r="FS146" s="48"/>
      <c r="FT146" s="48"/>
      <c r="FU146" s="48"/>
      <c r="FV146" s="48"/>
      <c r="FW146" s="48"/>
      <c r="FX146" s="48"/>
      <c r="FY146" s="48"/>
      <c r="FZ146" s="48"/>
      <c r="GA146" s="48"/>
      <c r="GB146" s="48"/>
      <c r="GC146" s="48"/>
      <c r="GD146" s="48"/>
      <c r="GE146" s="48"/>
      <c r="GF146" s="48"/>
      <c r="GG146" s="48"/>
      <c r="GH146" s="48"/>
      <c r="GI146" s="48"/>
      <c r="GJ146" s="8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77"/>
      <c r="GY146" s="77"/>
      <c r="GZ146" s="77"/>
    </row>
    <row r="147" spans="1:208">
      <c r="A147" s="48"/>
      <c r="B147" s="49"/>
      <c r="C147" s="50"/>
      <c r="D147" s="51"/>
      <c r="E147" s="50"/>
      <c r="F147" s="52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90"/>
      <c r="V147" s="91"/>
      <c r="W147" s="92"/>
      <c r="X147" s="92"/>
      <c r="Y147" s="92"/>
      <c r="Z147" s="91"/>
      <c r="AA147" s="93"/>
      <c r="AB147" s="99"/>
      <c r="AC147" s="54"/>
      <c r="AD147" s="54"/>
      <c r="AE147" s="54"/>
      <c r="AF147" s="54"/>
      <c r="AG147" s="54"/>
      <c r="AH147" s="54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113"/>
      <c r="BB147" s="110"/>
      <c r="BC147" s="110"/>
      <c r="BD147" s="110"/>
      <c r="BE147" s="110"/>
      <c r="BF147" s="110"/>
      <c r="BG147" s="110"/>
      <c r="BH147" s="110"/>
      <c r="BI147" s="113"/>
      <c r="BJ147" s="110"/>
      <c r="BK147" s="110"/>
      <c r="BL147" s="110"/>
      <c r="BM147" s="110"/>
      <c r="BN147" s="113"/>
      <c r="BO147" s="110"/>
      <c r="BP147" s="110"/>
      <c r="BQ147" s="110"/>
      <c r="BR147" s="110"/>
      <c r="BS147" s="110"/>
      <c r="BT147" s="110"/>
      <c r="BU147" s="110"/>
      <c r="BV147" s="110"/>
      <c r="BW147" s="110"/>
      <c r="BX147" s="113"/>
      <c r="BY147" s="110"/>
      <c r="BZ147" s="110"/>
      <c r="CA147" s="110"/>
      <c r="CB147" s="110"/>
      <c r="CC147" s="110"/>
      <c r="CD147" s="110"/>
      <c r="CE147" s="110"/>
      <c r="CF147" s="110"/>
      <c r="CG147" s="113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66"/>
      <c r="DA147" s="70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56"/>
      <c r="DR147" s="57"/>
      <c r="DS147" s="58"/>
      <c r="DT147" s="58"/>
      <c r="DU147" s="58"/>
      <c r="DV147" s="58"/>
      <c r="DW147" s="58"/>
      <c r="DX147" s="58"/>
      <c r="DY147" s="58"/>
      <c r="DZ147" s="59"/>
      <c r="EA147" s="60"/>
      <c r="EB147" s="61"/>
      <c r="EC147" s="62"/>
      <c r="ED147" s="2"/>
      <c r="EE147" s="63"/>
      <c r="EF147" s="63"/>
      <c r="EG147" s="63"/>
      <c r="EH147" s="63"/>
      <c r="EI147" s="63"/>
      <c r="EJ147" s="63"/>
      <c r="EK147" s="63"/>
      <c r="EL147" s="63"/>
      <c r="EM147" s="63"/>
      <c r="EN147" s="63"/>
      <c r="EO147" s="63"/>
      <c r="EP147" s="63"/>
      <c r="EQ147" s="63"/>
      <c r="ER147" s="63"/>
      <c r="ES147" s="63"/>
      <c r="ET147" s="63"/>
      <c r="EU147" s="80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5"/>
      <c r="FH147" s="84"/>
      <c r="FI147" s="64"/>
      <c r="FJ147" s="8"/>
      <c r="FK147" s="48"/>
      <c r="FL147" s="48"/>
      <c r="FM147" s="48"/>
      <c r="FN147" s="48"/>
      <c r="FO147" s="48"/>
      <c r="FP147" s="48"/>
      <c r="FQ147" s="48"/>
      <c r="FR147" s="48"/>
      <c r="FS147" s="48"/>
      <c r="FT147" s="48"/>
      <c r="FU147" s="48"/>
      <c r="FV147" s="48"/>
      <c r="FW147" s="48"/>
      <c r="FX147" s="48"/>
      <c r="FY147" s="48"/>
      <c r="FZ147" s="48"/>
      <c r="GA147" s="48"/>
      <c r="GB147" s="48"/>
      <c r="GC147" s="48"/>
      <c r="GD147" s="48"/>
      <c r="GE147" s="48"/>
      <c r="GF147" s="48"/>
      <c r="GG147" s="48"/>
      <c r="GH147" s="48"/>
      <c r="GI147" s="48"/>
      <c r="GJ147" s="8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77"/>
      <c r="GY147" s="77"/>
      <c r="GZ147" s="77"/>
    </row>
    <row r="148" spans="1:208">
      <c r="A148" s="48"/>
      <c r="B148" s="49"/>
      <c r="C148" s="50"/>
      <c r="D148" s="51"/>
      <c r="E148" s="50"/>
      <c r="F148" s="52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90"/>
      <c r="V148" s="91"/>
      <c r="W148" s="92"/>
      <c r="X148" s="92"/>
      <c r="Y148" s="92"/>
      <c r="Z148" s="91"/>
      <c r="AA148" s="93"/>
      <c r="AB148" s="99"/>
      <c r="AC148" s="54"/>
      <c r="AD148" s="54"/>
      <c r="AE148" s="54"/>
      <c r="AF148" s="54"/>
      <c r="AG148" s="54"/>
      <c r="AH148" s="54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113"/>
      <c r="BB148" s="110"/>
      <c r="BC148" s="110"/>
      <c r="BD148" s="110"/>
      <c r="BE148" s="110"/>
      <c r="BF148" s="110"/>
      <c r="BG148" s="110"/>
      <c r="BH148" s="110"/>
      <c r="BI148" s="113"/>
      <c r="BJ148" s="110"/>
      <c r="BK148" s="110"/>
      <c r="BL148" s="110"/>
      <c r="BM148" s="110"/>
      <c r="BN148" s="113"/>
      <c r="BO148" s="110"/>
      <c r="BP148" s="110"/>
      <c r="BQ148" s="110"/>
      <c r="BR148" s="110"/>
      <c r="BS148" s="110"/>
      <c r="BT148" s="110"/>
      <c r="BU148" s="110"/>
      <c r="BV148" s="110"/>
      <c r="BW148" s="110"/>
      <c r="BX148" s="113"/>
      <c r="BY148" s="110"/>
      <c r="BZ148" s="110"/>
      <c r="CA148" s="110"/>
      <c r="CB148" s="110"/>
      <c r="CC148" s="110"/>
      <c r="CD148" s="110"/>
      <c r="CE148" s="110"/>
      <c r="CF148" s="110"/>
      <c r="CG148" s="113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66"/>
      <c r="DA148" s="70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56"/>
      <c r="DR148" s="57"/>
      <c r="DS148" s="58"/>
      <c r="DT148" s="58"/>
      <c r="DU148" s="58"/>
      <c r="DV148" s="58"/>
      <c r="DW148" s="58"/>
      <c r="DX148" s="58"/>
      <c r="DY148" s="58"/>
      <c r="DZ148" s="59"/>
      <c r="EA148" s="60"/>
      <c r="EB148" s="61"/>
      <c r="EC148" s="62"/>
      <c r="ED148" s="2"/>
      <c r="EE148" s="63"/>
      <c r="EF148" s="63"/>
      <c r="EG148" s="63"/>
      <c r="EH148" s="63"/>
      <c r="EI148" s="63"/>
      <c r="EJ148" s="63"/>
      <c r="EK148" s="63"/>
      <c r="EL148" s="63"/>
      <c r="EM148" s="63"/>
      <c r="EN148" s="63"/>
      <c r="EO148" s="63"/>
      <c r="EP148" s="63"/>
      <c r="EQ148" s="63"/>
      <c r="ER148" s="63"/>
      <c r="ES148" s="63"/>
      <c r="ET148" s="63"/>
      <c r="EU148" s="80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5"/>
      <c r="FH148" s="84"/>
      <c r="FI148" s="64"/>
      <c r="FJ148" s="8"/>
      <c r="FK148" s="48"/>
      <c r="FL148" s="48"/>
      <c r="FM148" s="48"/>
      <c r="FN148" s="48"/>
      <c r="FO148" s="48"/>
      <c r="FP148" s="48"/>
      <c r="FQ148" s="48"/>
      <c r="FR148" s="48"/>
      <c r="FS148" s="48"/>
      <c r="FT148" s="48"/>
      <c r="FU148" s="48"/>
      <c r="FV148" s="48"/>
      <c r="FW148" s="48"/>
      <c r="FX148" s="48"/>
      <c r="FY148" s="48"/>
      <c r="FZ148" s="48"/>
      <c r="GA148" s="48"/>
      <c r="GB148" s="48"/>
      <c r="GC148" s="48"/>
      <c r="GD148" s="48"/>
      <c r="GE148" s="48"/>
      <c r="GF148" s="48"/>
      <c r="GG148" s="48"/>
      <c r="GH148" s="48"/>
      <c r="GI148" s="48"/>
      <c r="GJ148" s="8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77"/>
      <c r="GY148" s="77"/>
      <c r="GZ148" s="77"/>
    </row>
    <row r="149" spans="1:208">
      <c r="A149" s="48"/>
      <c r="B149" s="49"/>
      <c r="C149" s="50"/>
      <c r="D149" s="51"/>
      <c r="E149" s="50"/>
      <c r="F149" s="52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90"/>
      <c r="V149" s="91"/>
      <c r="W149" s="92"/>
      <c r="X149" s="92"/>
      <c r="Y149" s="92"/>
      <c r="Z149" s="91"/>
      <c r="AA149" s="93"/>
      <c r="AB149" s="99"/>
      <c r="AC149" s="54"/>
      <c r="AD149" s="54"/>
      <c r="AE149" s="54"/>
      <c r="AF149" s="54"/>
      <c r="AG149" s="54"/>
      <c r="AH149" s="54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113"/>
      <c r="BB149" s="110"/>
      <c r="BC149" s="110"/>
      <c r="BD149" s="110"/>
      <c r="BE149" s="110"/>
      <c r="BF149" s="110"/>
      <c r="BG149" s="110"/>
      <c r="BH149" s="110"/>
      <c r="BI149" s="113"/>
      <c r="BJ149" s="110"/>
      <c r="BK149" s="110"/>
      <c r="BL149" s="110"/>
      <c r="BM149" s="110"/>
      <c r="BN149" s="113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3"/>
      <c r="BY149" s="110"/>
      <c r="BZ149" s="110"/>
      <c r="CA149" s="110"/>
      <c r="CB149" s="110"/>
      <c r="CC149" s="110"/>
      <c r="CD149" s="110"/>
      <c r="CE149" s="110"/>
      <c r="CF149" s="110"/>
      <c r="CG149" s="113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66"/>
      <c r="DA149" s="70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56"/>
      <c r="DR149" s="57"/>
      <c r="DS149" s="58"/>
      <c r="DT149" s="58"/>
      <c r="DU149" s="58"/>
      <c r="DV149" s="58"/>
      <c r="DW149" s="58"/>
      <c r="DX149" s="58"/>
      <c r="DY149" s="58"/>
      <c r="DZ149" s="59"/>
      <c r="EA149" s="60"/>
      <c r="EB149" s="61"/>
      <c r="EC149" s="62"/>
      <c r="ED149" s="2"/>
      <c r="EE149" s="63"/>
      <c r="EF149" s="63"/>
      <c r="EG149" s="63"/>
      <c r="EH149" s="63"/>
      <c r="EI149" s="63"/>
      <c r="EJ149" s="63"/>
      <c r="EK149" s="63"/>
      <c r="EL149" s="63"/>
      <c r="EM149" s="63"/>
      <c r="EN149" s="63"/>
      <c r="EO149" s="63"/>
      <c r="EP149" s="63"/>
      <c r="EQ149" s="63"/>
      <c r="ER149" s="63"/>
      <c r="ES149" s="63"/>
      <c r="ET149" s="63"/>
      <c r="EU149" s="80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5"/>
      <c r="FH149" s="84"/>
      <c r="FI149" s="64"/>
      <c r="FJ149" s="8"/>
      <c r="FK149" s="48"/>
      <c r="FL149" s="48"/>
      <c r="FM149" s="48"/>
      <c r="FN149" s="48"/>
      <c r="FO149" s="48"/>
      <c r="FP149" s="48"/>
      <c r="FQ149" s="48"/>
      <c r="FR149" s="48"/>
      <c r="FS149" s="48"/>
      <c r="FT149" s="48"/>
      <c r="FU149" s="48"/>
      <c r="FV149" s="48"/>
      <c r="FW149" s="48"/>
      <c r="FX149" s="48"/>
      <c r="FY149" s="48"/>
      <c r="FZ149" s="48"/>
      <c r="GA149" s="48"/>
      <c r="GB149" s="48"/>
      <c r="GC149" s="48"/>
      <c r="GD149" s="48"/>
      <c r="GE149" s="48"/>
      <c r="GF149" s="48"/>
      <c r="GG149" s="48"/>
      <c r="GH149" s="48"/>
      <c r="GI149" s="48"/>
      <c r="GJ149" s="8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77"/>
      <c r="GY149" s="77"/>
      <c r="GZ149" s="77"/>
    </row>
    <row r="150" spans="1:208">
      <c r="A150" s="48"/>
      <c r="B150" s="49"/>
      <c r="C150" s="50"/>
      <c r="D150" s="51"/>
      <c r="E150" s="50"/>
      <c r="F150" s="52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90"/>
      <c r="V150" s="91"/>
      <c r="W150" s="92"/>
      <c r="X150" s="92"/>
      <c r="Y150" s="92"/>
      <c r="Z150" s="91"/>
      <c r="AA150" s="93"/>
      <c r="AB150" s="99"/>
      <c r="AC150" s="54"/>
      <c r="AD150" s="54"/>
      <c r="AE150" s="54"/>
      <c r="AF150" s="54"/>
      <c r="AG150" s="54"/>
      <c r="AH150" s="54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113"/>
      <c r="BB150" s="110"/>
      <c r="BC150" s="110"/>
      <c r="BD150" s="110"/>
      <c r="BE150" s="110"/>
      <c r="BF150" s="110"/>
      <c r="BG150" s="110"/>
      <c r="BH150" s="110"/>
      <c r="BI150" s="113"/>
      <c r="BJ150" s="110"/>
      <c r="BK150" s="110"/>
      <c r="BL150" s="110"/>
      <c r="BM150" s="110"/>
      <c r="BN150" s="113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3"/>
      <c r="BY150" s="110"/>
      <c r="BZ150" s="110"/>
      <c r="CA150" s="110"/>
      <c r="CB150" s="110"/>
      <c r="CC150" s="110"/>
      <c r="CD150" s="110"/>
      <c r="CE150" s="110"/>
      <c r="CF150" s="110"/>
      <c r="CG150" s="113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66"/>
      <c r="DA150" s="70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56"/>
      <c r="DR150" s="57"/>
      <c r="DS150" s="58"/>
      <c r="DT150" s="58"/>
      <c r="DU150" s="58"/>
      <c r="DV150" s="58"/>
      <c r="DW150" s="58"/>
      <c r="DX150" s="58"/>
      <c r="DY150" s="58"/>
      <c r="DZ150" s="59"/>
      <c r="EA150" s="60"/>
      <c r="EB150" s="61"/>
      <c r="EC150" s="62"/>
      <c r="ED150" s="2"/>
      <c r="EE150" s="63"/>
      <c r="EF150" s="63"/>
      <c r="EG150" s="63"/>
      <c r="EH150" s="63"/>
      <c r="EI150" s="63"/>
      <c r="EJ150" s="63"/>
      <c r="EK150" s="63"/>
      <c r="EL150" s="63"/>
      <c r="EM150" s="63"/>
      <c r="EN150" s="63"/>
      <c r="EO150" s="63"/>
      <c r="EP150" s="63"/>
      <c r="EQ150" s="63"/>
      <c r="ER150" s="63"/>
      <c r="ES150" s="63"/>
      <c r="ET150" s="63"/>
      <c r="EU150" s="80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5"/>
      <c r="FH150" s="84"/>
      <c r="FI150" s="64"/>
      <c r="FJ150" s="8"/>
      <c r="FK150" s="48"/>
      <c r="FL150" s="48"/>
      <c r="FM150" s="48"/>
      <c r="FN150" s="48"/>
      <c r="FO150" s="48"/>
      <c r="FP150" s="48"/>
      <c r="FQ150" s="48"/>
      <c r="FR150" s="48"/>
      <c r="FS150" s="48"/>
      <c r="FT150" s="48"/>
      <c r="FU150" s="48"/>
      <c r="FV150" s="48"/>
      <c r="FW150" s="48"/>
      <c r="FX150" s="48"/>
      <c r="FY150" s="48"/>
      <c r="FZ150" s="48"/>
      <c r="GA150" s="48"/>
      <c r="GB150" s="48"/>
      <c r="GC150" s="48"/>
      <c r="GD150" s="48"/>
      <c r="GE150" s="48"/>
      <c r="GF150" s="48"/>
      <c r="GG150" s="48"/>
      <c r="GH150" s="48"/>
      <c r="GI150" s="48"/>
      <c r="GJ150" s="8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77"/>
      <c r="GY150" s="77"/>
      <c r="GZ150" s="77"/>
    </row>
    <row r="151" spans="1:208">
      <c r="A151" s="48"/>
      <c r="B151" s="49"/>
      <c r="C151" s="50"/>
      <c r="D151" s="51"/>
      <c r="E151" s="50"/>
      <c r="F151" s="52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90"/>
      <c r="V151" s="91"/>
      <c r="W151" s="92"/>
      <c r="X151" s="92"/>
      <c r="Y151" s="92"/>
      <c r="Z151" s="91"/>
      <c r="AA151" s="93"/>
      <c r="AB151" s="99"/>
      <c r="AC151" s="54"/>
      <c r="AD151" s="54"/>
      <c r="AE151" s="54"/>
      <c r="AF151" s="54"/>
      <c r="AG151" s="54"/>
      <c r="AH151" s="54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113"/>
      <c r="BB151" s="110"/>
      <c r="BC151" s="110"/>
      <c r="BD151" s="110"/>
      <c r="BE151" s="110"/>
      <c r="BF151" s="110"/>
      <c r="BG151" s="110"/>
      <c r="BH151" s="110"/>
      <c r="BI151" s="113"/>
      <c r="BJ151" s="110"/>
      <c r="BK151" s="110"/>
      <c r="BL151" s="110"/>
      <c r="BM151" s="110"/>
      <c r="BN151" s="113"/>
      <c r="BO151" s="110"/>
      <c r="BP151" s="110"/>
      <c r="BQ151" s="110"/>
      <c r="BR151" s="110"/>
      <c r="BS151" s="110"/>
      <c r="BT151" s="110"/>
      <c r="BU151" s="110"/>
      <c r="BV151" s="110"/>
      <c r="BW151" s="110"/>
      <c r="BX151" s="113"/>
      <c r="BY151" s="110"/>
      <c r="BZ151" s="110"/>
      <c r="CA151" s="110"/>
      <c r="CB151" s="110"/>
      <c r="CC151" s="110"/>
      <c r="CD151" s="110"/>
      <c r="CE151" s="110"/>
      <c r="CF151" s="110"/>
      <c r="CG151" s="113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66"/>
      <c r="DA151" s="70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56"/>
      <c r="DR151" s="57"/>
      <c r="DS151" s="58"/>
      <c r="DT151" s="58"/>
      <c r="DU151" s="58"/>
      <c r="DV151" s="58"/>
      <c r="DW151" s="58"/>
      <c r="DX151" s="58"/>
      <c r="DY151" s="58"/>
      <c r="DZ151" s="59"/>
      <c r="EA151" s="60"/>
      <c r="EB151" s="61"/>
      <c r="EC151" s="62"/>
      <c r="ED151" s="2"/>
      <c r="EE151" s="63"/>
      <c r="EF151" s="63"/>
      <c r="EG151" s="63"/>
      <c r="EH151" s="63"/>
      <c r="EI151" s="63"/>
      <c r="EJ151" s="63"/>
      <c r="EK151" s="63"/>
      <c r="EL151" s="63"/>
      <c r="EM151" s="63"/>
      <c r="EN151" s="63"/>
      <c r="EO151" s="63"/>
      <c r="EP151" s="63"/>
      <c r="EQ151" s="63"/>
      <c r="ER151" s="63"/>
      <c r="ES151" s="63"/>
      <c r="ET151" s="63"/>
      <c r="EU151" s="80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5"/>
      <c r="FH151" s="84"/>
      <c r="FI151" s="64"/>
      <c r="FJ151" s="8"/>
      <c r="FK151" s="48"/>
      <c r="FL151" s="48"/>
      <c r="FM151" s="48"/>
      <c r="FN151" s="48"/>
      <c r="FO151" s="48"/>
      <c r="FP151" s="48"/>
      <c r="FQ151" s="48"/>
      <c r="FR151" s="48"/>
      <c r="FS151" s="48"/>
      <c r="FT151" s="48"/>
      <c r="FU151" s="48"/>
      <c r="FV151" s="48"/>
      <c r="FW151" s="48"/>
      <c r="FX151" s="48"/>
      <c r="FY151" s="48"/>
      <c r="FZ151" s="48"/>
      <c r="GA151" s="48"/>
      <c r="GB151" s="48"/>
      <c r="GC151" s="48"/>
      <c r="GD151" s="48"/>
      <c r="GE151" s="48"/>
      <c r="GF151" s="48"/>
      <c r="GG151" s="48"/>
      <c r="GH151" s="48"/>
      <c r="GI151" s="48"/>
      <c r="GJ151" s="8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77"/>
      <c r="GY151" s="77"/>
      <c r="GZ151" s="77"/>
    </row>
    <row r="152" spans="1:208">
      <c r="A152" s="48"/>
      <c r="B152" s="49"/>
      <c r="C152" s="50"/>
      <c r="D152" s="51"/>
      <c r="E152" s="50"/>
      <c r="F152" s="52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90"/>
      <c r="V152" s="91"/>
      <c r="W152" s="92"/>
      <c r="X152" s="92"/>
      <c r="Y152" s="92"/>
      <c r="Z152" s="91"/>
      <c r="AA152" s="93"/>
      <c r="AB152" s="99"/>
      <c r="AC152" s="54"/>
      <c r="AD152" s="54"/>
      <c r="AE152" s="54"/>
      <c r="AF152" s="54"/>
      <c r="AG152" s="54"/>
      <c r="AH152" s="54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113"/>
      <c r="BB152" s="110"/>
      <c r="BC152" s="110"/>
      <c r="BD152" s="110"/>
      <c r="BE152" s="110"/>
      <c r="BF152" s="110"/>
      <c r="BG152" s="110"/>
      <c r="BH152" s="110"/>
      <c r="BI152" s="113"/>
      <c r="BJ152" s="110"/>
      <c r="BK152" s="110"/>
      <c r="BL152" s="110"/>
      <c r="BM152" s="110"/>
      <c r="BN152" s="113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3"/>
      <c r="BY152" s="110"/>
      <c r="BZ152" s="110"/>
      <c r="CA152" s="110"/>
      <c r="CB152" s="110"/>
      <c r="CC152" s="110"/>
      <c r="CD152" s="110"/>
      <c r="CE152" s="110"/>
      <c r="CF152" s="110"/>
      <c r="CG152" s="113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66"/>
      <c r="DA152" s="70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56"/>
      <c r="DR152" s="57"/>
      <c r="DS152" s="58"/>
      <c r="DT152" s="58"/>
      <c r="DU152" s="58"/>
      <c r="DV152" s="58"/>
      <c r="DW152" s="58"/>
      <c r="DX152" s="58"/>
      <c r="DY152" s="58"/>
      <c r="DZ152" s="59"/>
      <c r="EA152" s="60"/>
      <c r="EB152" s="61"/>
      <c r="EC152" s="62"/>
      <c r="ED152" s="2"/>
      <c r="EE152" s="63"/>
      <c r="EF152" s="63"/>
      <c r="EG152" s="63"/>
      <c r="EH152" s="63"/>
      <c r="EI152" s="63"/>
      <c r="EJ152" s="63"/>
      <c r="EK152" s="63"/>
      <c r="EL152" s="63"/>
      <c r="EM152" s="63"/>
      <c r="EN152" s="63"/>
      <c r="EO152" s="63"/>
      <c r="EP152" s="63"/>
      <c r="EQ152" s="63"/>
      <c r="ER152" s="63"/>
      <c r="ES152" s="63"/>
      <c r="ET152" s="63"/>
      <c r="EU152" s="80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5"/>
      <c r="FH152" s="84"/>
      <c r="FI152" s="64"/>
      <c r="FJ152" s="8"/>
      <c r="FK152" s="48"/>
      <c r="FL152" s="48"/>
      <c r="FM152" s="48"/>
      <c r="FN152" s="48"/>
      <c r="FO152" s="48"/>
      <c r="FP152" s="48"/>
      <c r="FQ152" s="48"/>
      <c r="FR152" s="48"/>
      <c r="FS152" s="48"/>
      <c r="FT152" s="48"/>
      <c r="FU152" s="48"/>
      <c r="FV152" s="48"/>
      <c r="FW152" s="48"/>
      <c r="FX152" s="48"/>
      <c r="FY152" s="48"/>
      <c r="FZ152" s="48"/>
      <c r="GA152" s="48"/>
      <c r="GB152" s="48"/>
      <c r="GC152" s="48"/>
      <c r="GD152" s="48"/>
      <c r="GE152" s="48"/>
      <c r="GF152" s="48"/>
      <c r="GG152" s="48"/>
      <c r="GH152" s="48"/>
      <c r="GI152" s="48"/>
      <c r="GJ152" s="8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77"/>
      <c r="GY152" s="77"/>
      <c r="GZ152" s="77"/>
    </row>
    <row r="153" spans="1:208">
      <c r="A153" s="48"/>
      <c r="B153" s="49"/>
      <c r="C153" s="50"/>
      <c r="D153" s="51"/>
      <c r="E153" s="50"/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90"/>
      <c r="V153" s="91"/>
      <c r="W153" s="92"/>
      <c r="X153" s="92"/>
      <c r="Y153" s="92"/>
      <c r="Z153" s="91"/>
      <c r="AA153" s="93"/>
      <c r="AB153" s="99"/>
      <c r="AC153" s="54"/>
      <c r="AD153" s="54"/>
      <c r="AE153" s="54"/>
      <c r="AF153" s="54"/>
      <c r="AG153" s="54"/>
      <c r="AH153" s="54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113"/>
      <c r="BB153" s="110"/>
      <c r="BC153" s="110"/>
      <c r="BD153" s="110"/>
      <c r="BE153" s="110"/>
      <c r="BF153" s="110"/>
      <c r="BG153" s="110"/>
      <c r="BH153" s="110"/>
      <c r="BI153" s="113"/>
      <c r="BJ153" s="110"/>
      <c r="BK153" s="110"/>
      <c r="BL153" s="110"/>
      <c r="BM153" s="110"/>
      <c r="BN153" s="113"/>
      <c r="BO153" s="110"/>
      <c r="BP153" s="110"/>
      <c r="BQ153" s="110"/>
      <c r="BR153" s="110"/>
      <c r="BS153" s="110"/>
      <c r="BT153" s="110"/>
      <c r="BU153" s="110"/>
      <c r="BV153" s="110"/>
      <c r="BW153" s="110"/>
      <c r="BX153" s="113"/>
      <c r="BY153" s="110"/>
      <c r="BZ153" s="110"/>
      <c r="CA153" s="110"/>
      <c r="CB153" s="110"/>
      <c r="CC153" s="110"/>
      <c r="CD153" s="110"/>
      <c r="CE153" s="110"/>
      <c r="CF153" s="110"/>
      <c r="CG153" s="113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66"/>
      <c r="DA153" s="70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56"/>
      <c r="DR153" s="57"/>
      <c r="DS153" s="58"/>
      <c r="DT153" s="58"/>
      <c r="DU153" s="58"/>
      <c r="DV153" s="58"/>
      <c r="DW153" s="58"/>
      <c r="DX153" s="58"/>
      <c r="DY153" s="58"/>
      <c r="DZ153" s="59"/>
      <c r="EA153" s="60"/>
      <c r="EB153" s="61"/>
      <c r="EC153" s="62"/>
      <c r="ED153" s="2"/>
      <c r="EE153" s="63"/>
      <c r="EF153" s="63"/>
      <c r="EG153" s="63"/>
      <c r="EH153" s="63"/>
      <c r="EI153" s="63"/>
      <c r="EJ153" s="63"/>
      <c r="EK153" s="63"/>
      <c r="EL153" s="63"/>
      <c r="EM153" s="63"/>
      <c r="EN153" s="63"/>
      <c r="EO153" s="63"/>
      <c r="EP153" s="63"/>
      <c r="EQ153" s="63"/>
      <c r="ER153" s="63"/>
      <c r="ES153" s="63"/>
      <c r="ET153" s="63"/>
      <c r="EU153" s="80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5"/>
      <c r="FH153" s="84"/>
      <c r="FI153" s="64"/>
      <c r="FJ153" s="8"/>
      <c r="FK153" s="48"/>
      <c r="FL153" s="48"/>
      <c r="FM153" s="48"/>
      <c r="FN153" s="48"/>
      <c r="FO153" s="48"/>
      <c r="FP153" s="48"/>
      <c r="FQ153" s="48"/>
      <c r="FR153" s="48"/>
      <c r="FS153" s="48"/>
      <c r="FT153" s="48"/>
      <c r="FU153" s="48"/>
      <c r="FV153" s="48"/>
      <c r="FW153" s="48"/>
      <c r="FX153" s="48"/>
      <c r="FY153" s="48"/>
      <c r="FZ153" s="48"/>
      <c r="GA153" s="48"/>
      <c r="GB153" s="48"/>
      <c r="GC153" s="48"/>
      <c r="GD153" s="48"/>
      <c r="GE153" s="48"/>
      <c r="GF153" s="48"/>
      <c r="GG153" s="48"/>
      <c r="GH153" s="48"/>
      <c r="GI153" s="48"/>
      <c r="GJ153" s="8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77"/>
      <c r="GY153" s="77"/>
      <c r="GZ153" s="77"/>
    </row>
    <row r="154" spans="1:208">
      <c r="A154" s="48"/>
      <c r="B154" s="49"/>
      <c r="C154" s="50"/>
      <c r="D154" s="51"/>
      <c r="E154" s="50"/>
      <c r="F154" s="52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90"/>
      <c r="V154" s="91"/>
      <c r="W154" s="92"/>
      <c r="X154" s="92"/>
      <c r="Y154" s="92"/>
      <c r="Z154" s="91"/>
      <c r="AA154" s="93"/>
      <c r="AB154" s="99"/>
      <c r="AC154" s="54"/>
      <c r="AD154" s="54"/>
      <c r="AE154" s="54"/>
      <c r="AF154" s="54"/>
      <c r="AG154" s="54"/>
      <c r="AH154" s="54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113"/>
      <c r="BB154" s="110"/>
      <c r="BC154" s="110"/>
      <c r="BD154" s="110"/>
      <c r="BE154" s="110"/>
      <c r="BF154" s="110"/>
      <c r="BG154" s="110"/>
      <c r="BH154" s="110"/>
      <c r="BI154" s="113"/>
      <c r="BJ154" s="110"/>
      <c r="BK154" s="110"/>
      <c r="BL154" s="110"/>
      <c r="BM154" s="110"/>
      <c r="BN154" s="113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3"/>
      <c r="BY154" s="110"/>
      <c r="BZ154" s="110"/>
      <c r="CA154" s="110"/>
      <c r="CB154" s="110"/>
      <c r="CC154" s="110"/>
      <c r="CD154" s="110"/>
      <c r="CE154" s="110"/>
      <c r="CF154" s="110"/>
      <c r="CG154" s="113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66"/>
      <c r="DA154" s="70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56"/>
      <c r="DR154" s="57"/>
      <c r="DS154" s="58"/>
      <c r="DT154" s="58"/>
      <c r="DU154" s="58"/>
      <c r="DV154" s="58"/>
      <c r="DW154" s="58"/>
      <c r="DX154" s="58"/>
      <c r="DY154" s="58"/>
      <c r="DZ154" s="59"/>
      <c r="EA154" s="60"/>
      <c r="EB154" s="61"/>
      <c r="EC154" s="62"/>
      <c r="ED154" s="2"/>
      <c r="EE154" s="63"/>
      <c r="EF154" s="63"/>
      <c r="EG154" s="63"/>
      <c r="EH154" s="63"/>
      <c r="EI154" s="63"/>
      <c r="EJ154" s="63"/>
      <c r="EK154" s="63"/>
      <c r="EL154" s="63"/>
      <c r="EM154" s="63"/>
      <c r="EN154" s="63"/>
      <c r="EO154" s="63"/>
      <c r="EP154" s="63"/>
      <c r="EQ154" s="63"/>
      <c r="ER154" s="63"/>
      <c r="ES154" s="63"/>
      <c r="ET154" s="63"/>
      <c r="EU154" s="80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5"/>
      <c r="FH154" s="84"/>
      <c r="FI154" s="64"/>
      <c r="FJ154" s="8"/>
      <c r="FK154" s="48"/>
      <c r="FL154" s="48"/>
      <c r="FM154" s="48"/>
      <c r="FN154" s="48"/>
      <c r="FO154" s="48"/>
      <c r="FP154" s="48"/>
      <c r="FQ154" s="48"/>
      <c r="FR154" s="48"/>
      <c r="FS154" s="48"/>
      <c r="FT154" s="48"/>
      <c r="FU154" s="48"/>
      <c r="FV154" s="48"/>
      <c r="FW154" s="48"/>
      <c r="FX154" s="48"/>
      <c r="FY154" s="48"/>
      <c r="FZ154" s="48"/>
      <c r="GA154" s="48"/>
      <c r="GB154" s="48"/>
      <c r="GC154" s="48"/>
      <c r="GD154" s="48"/>
      <c r="GE154" s="48"/>
      <c r="GF154" s="48"/>
      <c r="GG154" s="48"/>
      <c r="GH154" s="48"/>
      <c r="GI154" s="48"/>
      <c r="GJ154" s="8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77"/>
      <c r="GY154" s="77"/>
      <c r="GZ154" s="77"/>
    </row>
    <row r="155" spans="1:208">
      <c r="A155" s="48"/>
      <c r="B155" s="49"/>
      <c r="C155" s="50"/>
      <c r="D155" s="51"/>
      <c r="E155" s="50"/>
      <c r="F155" s="52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90"/>
      <c r="V155" s="91"/>
      <c r="W155" s="92"/>
      <c r="X155" s="92"/>
      <c r="Y155" s="92"/>
      <c r="Z155" s="91"/>
      <c r="AA155" s="93"/>
      <c r="AB155" s="99"/>
      <c r="AC155" s="54"/>
      <c r="AD155" s="54"/>
      <c r="AE155" s="54"/>
      <c r="AF155" s="54"/>
      <c r="AG155" s="54"/>
      <c r="AH155" s="54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113"/>
      <c r="BB155" s="110"/>
      <c r="BC155" s="110"/>
      <c r="BD155" s="110"/>
      <c r="BE155" s="110"/>
      <c r="BF155" s="110"/>
      <c r="BG155" s="110"/>
      <c r="BH155" s="110"/>
      <c r="BI155" s="113"/>
      <c r="BJ155" s="110"/>
      <c r="BK155" s="110"/>
      <c r="BL155" s="110"/>
      <c r="BM155" s="110"/>
      <c r="BN155" s="113"/>
      <c r="BO155" s="110"/>
      <c r="BP155" s="110"/>
      <c r="BQ155" s="110"/>
      <c r="BR155" s="110"/>
      <c r="BS155" s="110"/>
      <c r="BT155" s="110"/>
      <c r="BU155" s="110"/>
      <c r="BV155" s="110"/>
      <c r="BW155" s="110"/>
      <c r="BX155" s="113"/>
      <c r="BY155" s="110"/>
      <c r="BZ155" s="110"/>
      <c r="CA155" s="110"/>
      <c r="CB155" s="110"/>
      <c r="CC155" s="110"/>
      <c r="CD155" s="110"/>
      <c r="CE155" s="110"/>
      <c r="CF155" s="110"/>
      <c r="CG155" s="113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66"/>
      <c r="DA155" s="70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56"/>
      <c r="DR155" s="57"/>
      <c r="DS155" s="58"/>
      <c r="DT155" s="58"/>
      <c r="DU155" s="58"/>
      <c r="DV155" s="58"/>
      <c r="DW155" s="58"/>
      <c r="DX155" s="58"/>
      <c r="DY155" s="58"/>
      <c r="DZ155" s="59"/>
      <c r="EA155" s="60"/>
      <c r="EB155" s="61"/>
      <c r="EC155" s="62"/>
      <c r="ED155" s="2"/>
      <c r="EE155" s="63"/>
      <c r="EF155" s="63"/>
      <c r="EG155" s="63"/>
      <c r="EH155" s="63"/>
      <c r="EI155" s="63"/>
      <c r="EJ155" s="63"/>
      <c r="EK155" s="63"/>
      <c r="EL155" s="63"/>
      <c r="EM155" s="63"/>
      <c r="EN155" s="63"/>
      <c r="EO155" s="63"/>
      <c r="EP155" s="63"/>
      <c r="EQ155" s="63"/>
      <c r="ER155" s="63"/>
      <c r="ES155" s="63"/>
      <c r="ET155" s="63"/>
      <c r="EU155" s="80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5"/>
      <c r="FH155" s="84"/>
      <c r="FI155" s="64"/>
      <c r="FJ155" s="8"/>
      <c r="FK155" s="48"/>
      <c r="FL155" s="48"/>
      <c r="FM155" s="48"/>
      <c r="FN155" s="48"/>
      <c r="FO155" s="48"/>
      <c r="FP155" s="48"/>
      <c r="FQ155" s="48"/>
      <c r="FR155" s="48"/>
      <c r="FS155" s="48"/>
      <c r="FT155" s="48"/>
      <c r="FU155" s="48"/>
      <c r="FV155" s="48"/>
      <c r="FW155" s="48"/>
      <c r="FX155" s="48"/>
      <c r="FY155" s="48"/>
      <c r="FZ155" s="48"/>
      <c r="GA155" s="48"/>
      <c r="GB155" s="48"/>
      <c r="GC155" s="48"/>
      <c r="GD155" s="48"/>
      <c r="GE155" s="48"/>
      <c r="GF155" s="48"/>
      <c r="GG155" s="48"/>
      <c r="GH155" s="48"/>
      <c r="GI155" s="48"/>
      <c r="GJ155" s="8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77"/>
      <c r="GY155" s="77"/>
      <c r="GZ155" s="77"/>
    </row>
    <row r="156" spans="1:208">
      <c r="A156" s="48"/>
      <c r="B156" s="49"/>
      <c r="C156" s="50"/>
      <c r="D156" s="51"/>
      <c r="E156" s="50"/>
      <c r="F156" s="52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90"/>
      <c r="V156" s="91"/>
      <c r="W156" s="92"/>
      <c r="X156" s="92"/>
      <c r="Y156" s="92"/>
      <c r="Z156" s="91"/>
      <c r="AA156" s="93"/>
      <c r="AB156" s="99"/>
      <c r="AC156" s="54"/>
      <c r="AD156" s="54"/>
      <c r="AE156" s="54"/>
      <c r="AF156" s="54"/>
      <c r="AG156" s="54"/>
      <c r="AH156" s="54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113"/>
      <c r="BB156" s="110"/>
      <c r="BC156" s="110"/>
      <c r="BD156" s="110"/>
      <c r="BE156" s="110"/>
      <c r="BF156" s="110"/>
      <c r="BG156" s="110"/>
      <c r="BH156" s="110"/>
      <c r="BI156" s="113"/>
      <c r="BJ156" s="110"/>
      <c r="BK156" s="110"/>
      <c r="BL156" s="110"/>
      <c r="BM156" s="110"/>
      <c r="BN156" s="113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3"/>
      <c r="BY156" s="110"/>
      <c r="BZ156" s="110"/>
      <c r="CA156" s="110"/>
      <c r="CB156" s="110"/>
      <c r="CC156" s="110"/>
      <c r="CD156" s="110"/>
      <c r="CE156" s="110"/>
      <c r="CF156" s="110"/>
      <c r="CG156" s="113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66"/>
      <c r="DA156" s="70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56"/>
      <c r="DR156" s="57"/>
      <c r="DS156" s="58"/>
      <c r="DT156" s="58"/>
      <c r="DU156" s="58"/>
      <c r="DV156" s="58"/>
      <c r="DW156" s="58"/>
      <c r="DX156" s="58"/>
      <c r="DY156" s="58"/>
      <c r="DZ156" s="59"/>
      <c r="EA156" s="60"/>
      <c r="EB156" s="61"/>
      <c r="EC156" s="62"/>
      <c r="ED156" s="2"/>
      <c r="EE156" s="63"/>
      <c r="EF156" s="63"/>
      <c r="EG156" s="63"/>
      <c r="EH156" s="63"/>
      <c r="EI156" s="63"/>
      <c r="EJ156" s="63"/>
      <c r="EK156" s="63"/>
      <c r="EL156" s="63"/>
      <c r="EM156" s="63"/>
      <c r="EN156" s="63"/>
      <c r="EO156" s="63"/>
      <c r="EP156" s="63"/>
      <c r="EQ156" s="63"/>
      <c r="ER156" s="63"/>
      <c r="ES156" s="63"/>
      <c r="ET156" s="63"/>
      <c r="EU156" s="80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5"/>
      <c r="FH156" s="84"/>
      <c r="FI156" s="64"/>
      <c r="FJ156" s="8"/>
      <c r="FK156" s="48"/>
      <c r="FL156" s="48"/>
      <c r="FM156" s="48"/>
      <c r="FN156" s="48"/>
      <c r="FO156" s="48"/>
      <c r="FP156" s="48"/>
      <c r="FQ156" s="48"/>
      <c r="FR156" s="48"/>
      <c r="FS156" s="48"/>
      <c r="FT156" s="48"/>
      <c r="FU156" s="48"/>
      <c r="FV156" s="48"/>
      <c r="FW156" s="48"/>
      <c r="FX156" s="48"/>
      <c r="FY156" s="48"/>
      <c r="FZ156" s="48"/>
      <c r="GA156" s="48"/>
      <c r="GB156" s="48"/>
      <c r="GC156" s="48"/>
      <c r="GD156" s="48"/>
      <c r="GE156" s="48"/>
      <c r="GF156" s="48"/>
      <c r="GG156" s="48"/>
      <c r="GH156" s="48"/>
      <c r="GI156" s="48"/>
      <c r="GJ156" s="8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77"/>
      <c r="GY156" s="77"/>
      <c r="GZ156" s="77"/>
    </row>
    <row r="157" spans="1:208">
      <c r="A157" s="48"/>
      <c r="B157" s="49"/>
      <c r="C157" s="50"/>
      <c r="D157" s="51"/>
      <c r="E157" s="50"/>
      <c r="F157" s="52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90"/>
      <c r="V157" s="91"/>
      <c r="W157" s="92"/>
      <c r="X157" s="92"/>
      <c r="Y157" s="92"/>
      <c r="Z157" s="91"/>
      <c r="AA157" s="93"/>
      <c r="AB157" s="99"/>
      <c r="AC157" s="54"/>
      <c r="AD157" s="54"/>
      <c r="AE157" s="54"/>
      <c r="AF157" s="54"/>
      <c r="AG157" s="54"/>
      <c r="AH157" s="54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113"/>
      <c r="BB157" s="110"/>
      <c r="BC157" s="110"/>
      <c r="BD157" s="110"/>
      <c r="BE157" s="110"/>
      <c r="BF157" s="110"/>
      <c r="BG157" s="110"/>
      <c r="BH157" s="110"/>
      <c r="BI157" s="113"/>
      <c r="BJ157" s="110"/>
      <c r="BK157" s="110"/>
      <c r="BL157" s="110"/>
      <c r="BM157" s="110"/>
      <c r="BN157" s="113"/>
      <c r="BO157" s="110"/>
      <c r="BP157" s="110"/>
      <c r="BQ157" s="110"/>
      <c r="BR157" s="110"/>
      <c r="BS157" s="110"/>
      <c r="BT157" s="110"/>
      <c r="BU157" s="110"/>
      <c r="BV157" s="110"/>
      <c r="BW157" s="110"/>
      <c r="BX157" s="113"/>
      <c r="BY157" s="110"/>
      <c r="BZ157" s="110"/>
      <c r="CA157" s="110"/>
      <c r="CB157" s="110"/>
      <c r="CC157" s="110"/>
      <c r="CD157" s="110"/>
      <c r="CE157" s="110"/>
      <c r="CF157" s="110"/>
      <c r="CG157" s="113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66"/>
      <c r="DA157" s="70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56"/>
      <c r="DR157" s="57"/>
      <c r="DS157" s="58"/>
      <c r="DT157" s="58"/>
      <c r="DU157" s="58"/>
      <c r="DV157" s="58"/>
      <c r="DW157" s="58"/>
      <c r="DX157" s="58"/>
      <c r="DY157" s="58"/>
      <c r="DZ157" s="59"/>
      <c r="EA157" s="60"/>
      <c r="EB157" s="61"/>
      <c r="EC157" s="62"/>
      <c r="ED157" s="2"/>
      <c r="EE157" s="63"/>
      <c r="EF157" s="63"/>
      <c r="EG157" s="63"/>
      <c r="EH157" s="63"/>
      <c r="EI157" s="63"/>
      <c r="EJ157" s="63"/>
      <c r="EK157" s="63"/>
      <c r="EL157" s="63"/>
      <c r="EM157" s="63"/>
      <c r="EN157" s="63"/>
      <c r="EO157" s="63"/>
      <c r="EP157" s="63"/>
      <c r="EQ157" s="63"/>
      <c r="ER157" s="63"/>
      <c r="ES157" s="63"/>
      <c r="ET157" s="63"/>
      <c r="EU157" s="80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5"/>
      <c r="FH157" s="84"/>
      <c r="FI157" s="64"/>
      <c r="FJ157" s="8"/>
      <c r="FK157" s="48"/>
      <c r="FL157" s="48"/>
      <c r="FM157" s="48"/>
      <c r="FN157" s="48"/>
      <c r="FO157" s="48"/>
      <c r="FP157" s="48"/>
      <c r="FQ157" s="48"/>
      <c r="FR157" s="48"/>
      <c r="FS157" s="48"/>
      <c r="FT157" s="48"/>
      <c r="FU157" s="48"/>
      <c r="FV157" s="48"/>
      <c r="FW157" s="48"/>
      <c r="FX157" s="48"/>
      <c r="FY157" s="48"/>
      <c r="FZ157" s="48"/>
      <c r="GA157" s="48"/>
      <c r="GB157" s="48"/>
      <c r="GC157" s="48"/>
      <c r="GD157" s="48"/>
      <c r="GE157" s="48"/>
      <c r="GF157" s="48"/>
      <c r="GG157" s="48"/>
      <c r="GH157" s="48"/>
      <c r="GI157" s="48"/>
      <c r="GJ157" s="8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77"/>
      <c r="GY157" s="77"/>
      <c r="GZ157" s="77"/>
    </row>
    <row r="158" spans="1:208">
      <c r="A158" s="48"/>
      <c r="B158" s="49"/>
      <c r="C158" s="50"/>
      <c r="D158" s="51"/>
      <c r="E158" s="50"/>
      <c r="F158" s="52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90"/>
      <c r="V158" s="91"/>
      <c r="W158" s="92"/>
      <c r="X158" s="92"/>
      <c r="Y158" s="92"/>
      <c r="Z158" s="91"/>
      <c r="AA158" s="93"/>
      <c r="AB158" s="99"/>
      <c r="AC158" s="54"/>
      <c r="AD158" s="54"/>
      <c r="AE158" s="54"/>
      <c r="AF158" s="54"/>
      <c r="AG158" s="54"/>
      <c r="AH158" s="54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113"/>
      <c r="BB158" s="110"/>
      <c r="BC158" s="110"/>
      <c r="BD158" s="110"/>
      <c r="BE158" s="110"/>
      <c r="BF158" s="110"/>
      <c r="BG158" s="110"/>
      <c r="BH158" s="110"/>
      <c r="BI158" s="113"/>
      <c r="BJ158" s="110"/>
      <c r="BK158" s="110"/>
      <c r="BL158" s="110"/>
      <c r="BM158" s="110"/>
      <c r="BN158" s="113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3"/>
      <c r="BY158" s="110"/>
      <c r="BZ158" s="110"/>
      <c r="CA158" s="110"/>
      <c r="CB158" s="110"/>
      <c r="CC158" s="110"/>
      <c r="CD158" s="110"/>
      <c r="CE158" s="110"/>
      <c r="CF158" s="110"/>
      <c r="CG158" s="113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66"/>
      <c r="DA158" s="70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56"/>
      <c r="DR158" s="57"/>
      <c r="DS158" s="58"/>
      <c r="DT158" s="58"/>
      <c r="DU158" s="58"/>
      <c r="DV158" s="58"/>
      <c r="DW158" s="58"/>
      <c r="DX158" s="58"/>
      <c r="DY158" s="58"/>
      <c r="DZ158" s="59"/>
      <c r="EA158" s="60"/>
      <c r="EB158" s="61"/>
      <c r="EC158" s="62"/>
      <c r="ED158" s="2"/>
      <c r="EE158" s="63"/>
      <c r="EF158" s="63"/>
      <c r="EG158" s="63"/>
      <c r="EH158" s="63"/>
      <c r="EI158" s="63"/>
      <c r="EJ158" s="63"/>
      <c r="EK158" s="63"/>
      <c r="EL158" s="63"/>
      <c r="EM158" s="63"/>
      <c r="EN158" s="63"/>
      <c r="EO158" s="63"/>
      <c r="EP158" s="63"/>
      <c r="EQ158" s="63"/>
      <c r="ER158" s="63"/>
      <c r="ES158" s="63"/>
      <c r="ET158" s="63"/>
      <c r="EU158" s="80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5"/>
      <c r="FH158" s="84"/>
      <c r="FI158" s="64"/>
      <c r="FJ158" s="8"/>
      <c r="FK158" s="48"/>
      <c r="FL158" s="48"/>
      <c r="FM158" s="48"/>
      <c r="FN158" s="48"/>
      <c r="FO158" s="48"/>
      <c r="FP158" s="48"/>
      <c r="FQ158" s="48"/>
      <c r="FR158" s="48"/>
      <c r="FS158" s="48"/>
      <c r="FT158" s="48"/>
      <c r="FU158" s="48"/>
      <c r="FV158" s="48"/>
      <c r="FW158" s="48"/>
      <c r="FX158" s="48"/>
      <c r="FY158" s="48"/>
      <c r="FZ158" s="48"/>
      <c r="GA158" s="48"/>
      <c r="GB158" s="48"/>
      <c r="GC158" s="48"/>
      <c r="GD158" s="48"/>
      <c r="GE158" s="48"/>
      <c r="GF158" s="48"/>
      <c r="GG158" s="48"/>
      <c r="GH158" s="48"/>
      <c r="GI158" s="48"/>
      <c r="GJ158" s="8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77"/>
      <c r="GY158" s="77"/>
      <c r="GZ158" s="77"/>
    </row>
    <row r="159" spans="1:208">
      <c r="A159" s="48"/>
      <c r="B159" s="49"/>
      <c r="C159" s="50"/>
      <c r="D159" s="51"/>
      <c r="E159" s="50"/>
      <c r="F159" s="52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90"/>
      <c r="V159" s="91"/>
      <c r="W159" s="92"/>
      <c r="X159" s="92"/>
      <c r="Y159" s="92"/>
      <c r="Z159" s="91"/>
      <c r="AA159" s="93"/>
      <c r="AB159" s="99"/>
      <c r="AC159" s="54"/>
      <c r="AD159" s="54"/>
      <c r="AE159" s="54"/>
      <c r="AF159" s="54"/>
      <c r="AG159" s="54"/>
      <c r="AH159" s="54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113"/>
      <c r="BB159" s="110"/>
      <c r="BC159" s="110"/>
      <c r="BD159" s="110"/>
      <c r="BE159" s="110"/>
      <c r="BF159" s="110"/>
      <c r="BG159" s="110"/>
      <c r="BH159" s="110"/>
      <c r="BI159" s="113"/>
      <c r="BJ159" s="110"/>
      <c r="BK159" s="110"/>
      <c r="BL159" s="110"/>
      <c r="BM159" s="110"/>
      <c r="BN159" s="113"/>
      <c r="BO159" s="110"/>
      <c r="BP159" s="110"/>
      <c r="BQ159" s="110"/>
      <c r="BR159" s="110"/>
      <c r="BS159" s="110"/>
      <c r="BT159" s="110"/>
      <c r="BU159" s="110"/>
      <c r="BV159" s="110"/>
      <c r="BW159" s="110"/>
      <c r="BX159" s="113"/>
      <c r="BY159" s="110"/>
      <c r="BZ159" s="110"/>
      <c r="CA159" s="110"/>
      <c r="CB159" s="110"/>
      <c r="CC159" s="110"/>
      <c r="CD159" s="110"/>
      <c r="CE159" s="110"/>
      <c r="CF159" s="110"/>
      <c r="CG159" s="113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66"/>
      <c r="DA159" s="70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56"/>
      <c r="DR159" s="57"/>
      <c r="DS159" s="58"/>
      <c r="DT159" s="58"/>
      <c r="DU159" s="58"/>
      <c r="DV159" s="58"/>
      <c r="DW159" s="58"/>
      <c r="DX159" s="58"/>
      <c r="DY159" s="58"/>
      <c r="DZ159" s="59"/>
      <c r="EA159" s="60"/>
      <c r="EB159" s="61"/>
      <c r="EC159" s="62"/>
      <c r="ED159" s="2"/>
      <c r="EE159" s="63"/>
      <c r="EF159" s="63"/>
      <c r="EG159" s="63"/>
      <c r="EH159" s="63"/>
      <c r="EI159" s="63"/>
      <c r="EJ159" s="63"/>
      <c r="EK159" s="63"/>
      <c r="EL159" s="63"/>
      <c r="EM159" s="63"/>
      <c r="EN159" s="63"/>
      <c r="EO159" s="63"/>
      <c r="EP159" s="63"/>
      <c r="EQ159" s="63"/>
      <c r="ER159" s="63"/>
      <c r="ES159" s="63"/>
      <c r="ET159" s="63"/>
      <c r="EU159" s="80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5"/>
      <c r="FH159" s="84"/>
      <c r="FI159" s="64"/>
      <c r="FJ159" s="8"/>
      <c r="FK159" s="48"/>
      <c r="FL159" s="48"/>
      <c r="FM159" s="48"/>
      <c r="FN159" s="48"/>
      <c r="FO159" s="48"/>
      <c r="FP159" s="48"/>
      <c r="FQ159" s="48"/>
      <c r="FR159" s="48"/>
      <c r="FS159" s="48"/>
      <c r="FT159" s="48"/>
      <c r="FU159" s="48"/>
      <c r="FV159" s="48"/>
      <c r="FW159" s="48"/>
      <c r="FX159" s="48"/>
      <c r="FY159" s="48"/>
      <c r="FZ159" s="48"/>
      <c r="GA159" s="48"/>
      <c r="GB159" s="48"/>
      <c r="GC159" s="48"/>
      <c r="GD159" s="48"/>
      <c r="GE159" s="48"/>
      <c r="GF159" s="48"/>
      <c r="GG159" s="48"/>
      <c r="GH159" s="48"/>
      <c r="GI159" s="48"/>
      <c r="GJ159" s="8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77"/>
      <c r="GY159" s="77"/>
      <c r="GZ159" s="77"/>
    </row>
    <row r="160" spans="1:208">
      <c r="A160" s="48"/>
      <c r="B160" s="49"/>
      <c r="C160" s="50"/>
      <c r="D160" s="51"/>
      <c r="E160" s="50"/>
      <c r="F160" s="52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90"/>
      <c r="V160" s="91"/>
      <c r="W160" s="92"/>
      <c r="X160" s="92"/>
      <c r="Y160" s="92"/>
      <c r="Z160" s="91"/>
      <c r="AA160" s="93"/>
      <c r="AB160" s="99"/>
      <c r="AC160" s="54"/>
      <c r="AD160" s="54"/>
      <c r="AE160" s="54"/>
      <c r="AF160" s="54"/>
      <c r="AG160" s="54"/>
      <c r="AH160" s="54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113"/>
      <c r="BB160" s="110"/>
      <c r="BC160" s="110"/>
      <c r="BD160" s="110"/>
      <c r="BE160" s="110"/>
      <c r="BF160" s="110"/>
      <c r="BG160" s="110"/>
      <c r="BH160" s="110"/>
      <c r="BI160" s="113"/>
      <c r="BJ160" s="110"/>
      <c r="BK160" s="110"/>
      <c r="BL160" s="110"/>
      <c r="BM160" s="110"/>
      <c r="BN160" s="113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3"/>
      <c r="BY160" s="110"/>
      <c r="BZ160" s="110"/>
      <c r="CA160" s="110"/>
      <c r="CB160" s="110"/>
      <c r="CC160" s="110"/>
      <c r="CD160" s="110"/>
      <c r="CE160" s="110"/>
      <c r="CF160" s="110"/>
      <c r="CG160" s="113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66"/>
      <c r="DA160" s="70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56"/>
      <c r="DR160" s="57"/>
      <c r="DS160" s="58"/>
      <c r="DT160" s="58"/>
      <c r="DU160" s="58"/>
      <c r="DV160" s="58"/>
      <c r="DW160" s="58"/>
      <c r="DX160" s="58"/>
      <c r="DY160" s="58"/>
      <c r="DZ160" s="59"/>
      <c r="EA160" s="60"/>
      <c r="EB160" s="61"/>
      <c r="EC160" s="62"/>
      <c r="ED160" s="2"/>
      <c r="EE160" s="63"/>
      <c r="EF160" s="63"/>
      <c r="EG160" s="63"/>
      <c r="EH160" s="63"/>
      <c r="EI160" s="63"/>
      <c r="EJ160" s="63"/>
      <c r="EK160" s="63"/>
      <c r="EL160" s="63"/>
      <c r="EM160" s="63"/>
      <c r="EN160" s="63"/>
      <c r="EO160" s="63"/>
      <c r="EP160" s="63"/>
      <c r="EQ160" s="63"/>
      <c r="ER160" s="63"/>
      <c r="ES160" s="63"/>
      <c r="ET160" s="63"/>
      <c r="EU160" s="80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5"/>
      <c r="FH160" s="84"/>
      <c r="FI160" s="64"/>
      <c r="FJ160" s="8"/>
      <c r="FK160" s="48"/>
      <c r="FL160" s="48"/>
      <c r="FM160" s="48"/>
      <c r="FN160" s="48"/>
      <c r="FO160" s="48"/>
      <c r="FP160" s="48"/>
      <c r="FQ160" s="48"/>
      <c r="FR160" s="48"/>
      <c r="FS160" s="48"/>
      <c r="FT160" s="48"/>
      <c r="FU160" s="48"/>
      <c r="FV160" s="48"/>
      <c r="FW160" s="48"/>
      <c r="FX160" s="48"/>
      <c r="FY160" s="48"/>
      <c r="FZ160" s="48"/>
      <c r="GA160" s="48"/>
      <c r="GB160" s="48"/>
      <c r="GC160" s="48"/>
      <c r="GD160" s="48"/>
      <c r="GE160" s="48"/>
      <c r="GF160" s="48"/>
      <c r="GG160" s="48"/>
      <c r="GH160" s="48"/>
      <c r="GI160" s="48"/>
      <c r="GJ160" s="8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77"/>
      <c r="GY160" s="77"/>
      <c r="GZ160" s="77"/>
    </row>
    <row r="161" spans="1:208">
      <c r="A161" s="48"/>
      <c r="B161" s="49"/>
      <c r="C161" s="50"/>
      <c r="D161" s="51"/>
      <c r="E161" s="50"/>
      <c r="F161" s="52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90"/>
      <c r="V161" s="91"/>
      <c r="W161" s="92"/>
      <c r="X161" s="92"/>
      <c r="Y161" s="92"/>
      <c r="Z161" s="91"/>
      <c r="AA161" s="93"/>
      <c r="AB161" s="99"/>
      <c r="AC161" s="54"/>
      <c r="AD161" s="54"/>
      <c r="AE161" s="54"/>
      <c r="AF161" s="54"/>
      <c r="AG161" s="54"/>
      <c r="AH161" s="54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113"/>
      <c r="BB161" s="110"/>
      <c r="BC161" s="110"/>
      <c r="BD161" s="110"/>
      <c r="BE161" s="110"/>
      <c r="BF161" s="110"/>
      <c r="BG161" s="110"/>
      <c r="BH161" s="110"/>
      <c r="BI161" s="113"/>
      <c r="BJ161" s="110"/>
      <c r="BK161" s="110"/>
      <c r="BL161" s="110"/>
      <c r="BM161" s="110"/>
      <c r="BN161" s="113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3"/>
      <c r="BY161" s="110"/>
      <c r="BZ161" s="110"/>
      <c r="CA161" s="110"/>
      <c r="CB161" s="110"/>
      <c r="CC161" s="110"/>
      <c r="CD161" s="110"/>
      <c r="CE161" s="110"/>
      <c r="CF161" s="110"/>
      <c r="CG161" s="113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66"/>
      <c r="DA161" s="70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56"/>
      <c r="DR161" s="57"/>
      <c r="DS161" s="58"/>
      <c r="DT161" s="58"/>
      <c r="DU161" s="58"/>
      <c r="DV161" s="58"/>
      <c r="DW161" s="58"/>
      <c r="DX161" s="58"/>
      <c r="DY161" s="58"/>
      <c r="DZ161" s="59"/>
      <c r="EA161" s="60"/>
      <c r="EB161" s="61"/>
      <c r="EC161" s="62"/>
      <c r="ED161" s="2"/>
      <c r="EE161" s="63"/>
      <c r="EF161" s="63"/>
      <c r="EG161" s="63"/>
      <c r="EH161" s="63"/>
      <c r="EI161" s="63"/>
      <c r="EJ161" s="63"/>
      <c r="EK161" s="63"/>
      <c r="EL161" s="63"/>
      <c r="EM161" s="63"/>
      <c r="EN161" s="63"/>
      <c r="EO161" s="63"/>
      <c r="EP161" s="63"/>
      <c r="EQ161" s="63"/>
      <c r="ER161" s="63"/>
      <c r="ES161" s="63"/>
      <c r="ET161" s="63"/>
      <c r="EU161" s="80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5"/>
      <c r="FH161" s="84"/>
      <c r="FI161" s="64"/>
      <c r="FJ161" s="8"/>
      <c r="FK161" s="48"/>
      <c r="FL161" s="48"/>
      <c r="FM161" s="48"/>
      <c r="FN161" s="48"/>
      <c r="FO161" s="48"/>
      <c r="FP161" s="48"/>
      <c r="FQ161" s="48"/>
      <c r="FR161" s="48"/>
      <c r="FS161" s="48"/>
      <c r="FT161" s="48"/>
      <c r="FU161" s="48"/>
      <c r="FV161" s="48"/>
      <c r="FW161" s="48"/>
      <c r="FX161" s="48"/>
      <c r="FY161" s="48"/>
      <c r="FZ161" s="48"/>
      <c r="GA161" s="48"/>
      <c r="GB161" s="48"/>
      <c r="GC161" s="48"/>
      <c r="GD161" s="48"/>
      <c r="GE161" s="48"/>
      <c r="GF161" s="48"/>
      <c r="GG161" s="48"/>
      <c r="GH161" s="48"/>
      <c r="GI161" s="48"/>
      <c r="GJ161" s="8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77"/>
      <c r="GY161" s="77"/>
      <c r="GZ161" s="77"/>
    </row>
    <row r="162" spans="1:208">
      <c r="A162" s="48"/>
      <c r="B162" s="49"/>
      <c r="C162" s="50"/>
      <c r="D162" s="51"/>
      <c r="E162" s="50"/>
      <c r="F162" s="52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90"/>
      <c r="V162" s="91"/>
      <c r="W162" s="92"/>
      <c r="X162" s="92"/>
      <c r="Y162" s="92"/>
      <c r="Z162" s="91"/>
      <c r="AA162" s="93"/>
      <c r="AB162" s="99"/>
      <c r="AC162" s="54"/>
      <c r="AD162" s="54"/>
      <c r="AE162" s="54"/>
      <c r="AF162" s="54"/>
      <c r="AG162" s="54"/>
      <c r="AH162" s="54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113"/>
      <c r="BB162" s="110"/>
      <c r="BC162" s="110"/>
      <c r="BD162" s="110"/>
      <c r="BE162" s="110"/>
      <c r="BF162" s="110"/>
      <c r="BG162" s="110"/>
      <c r="BH162" s="110"/>
      <c r="BI162" s="113"/>
      <c r="BJ162" s="110"/>
      <c r="BK162" s="110"/>
      <c r="BL162" s="110"/>
      <c r="BM162" s="110"/>
      <c r="BN162" s="113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3"/>
      <c r="BY162" s="110"/>
      <c r="BZ162" s="110"/>
      <c r="CA162" s="110"/>
      <c r="CB162" s="110"/>
      <c r="CC162" s="110"/>
      <c r="CD162" s="110"/>
      <c r="CE162" s="110"/>
      <c r="CF162" s="110"/>
      <c r="CG162" s="113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66"/>
      <c r="DA162" s="70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56"/>
      <c r="DR162" s="57"/>
      <c r="DS162" s="58"/>
      <c r="DT162" s="58"/>
      <c r="DU162" s="58"/>
      <c r="DV162" s="58"/>
      <c r="DW162" s="58"/>
      <c r="DX162" s="58"/>
      <c r="DY162" s="58"/>
      <c r="DZ162" s="59"/>
      <c r="EA162" s="60"/>
      <c r="EB162" s="61"/>
      <c r="EC162" s="62"/>
      <c r="ED162" s="2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80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5"/>
      <c r="FH162" s="84"/>
      <c r="FI162" s="64"/>
      <c r="FJ162" s="8"/>
      <c r="FK162" s="48"/>
      <c r="FL162" s="48"/>
      <c r="FM162" s="48"/>
      <c r="FN162" s="48"/>
      <c r="FO162" s="48"/>
      <c r="FP162" s="48"/>
      <c r="FQ162" s="48"/>
      <c r="FR162" s="48"/>
      <c r="FS162" s="48"/>
      <c r="FT162" s="48"/>
      <c r="FU162" s="48"/>
      <c r="FV162" s="48"/>
      <c r="FW162" s="48"/>
      <c r="FX162" s="48"/>
      <c r="FY162" s="48"/>
      <c r="FZ162" s="48"/>
      <c r="GA162" s="48"/>
      <c r="GB162" s="48"/>
      <c r="GC162" s="48"/>
      <c r="GD162" s="48"/>
      <c r="GE162" s="48"/>
      <c r="GF162" s="48"/>
      <c r="GG162" s="48"/>
      <c r="GH162" s="48"/>
      <c r="GI162" s="48"/>
      <c r="GJ162" s="8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77"/>
      <c r="GY162" s="77"/>
      <c r="GZ162" s="77"/>
    </row>
    <row r="163" spans="1:208">
      <c r="A163" s="48"/>
      <c r="B163" s="49"/>
      <c r="C163" s="50"/>
      <c r="D163" s="51"/>
      <c r="E163" s="50"/>
      <c r="F163" s="52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90"/>
      <c r="V163" s="91"/>
      <c r="W163" s="92"/>
      <c r="X163" s="92"/>
      <c r="Y163" s="92"/>
      <c r="Z163" s="91"/>
      <c r="AA163" s="93"/>
      <c r="AB163" s="99"/>
      <c r="AC163" s="54"/>
      <c r="AD163" s="54"/>
      <c r="AE163" s="54"/>
      <c r="AF163" s="54"/>
      <c r="AG163" s="54"/>
      <c r="AH163" s="54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113"/>
      <c r="BB163" s="110"/>
      <c r="BC163" s="110"/>
      <c r="BD163" s="110"/>
      <c r="BE163" s="110"/>
      <c r="BF163" s="110"/>
      <c r="BG163" s="110"/>
      <c r="BH163" s="110"/>
      <c r="BI163" s="113"/>
      <c r="BJ163" s="110"/>
      <c r="BK163" s="110"/>
      <c r="BL163" s="110"/>
      <c r="BM163" s="110"/>
      <c r="BN163" s="113"/>
      <c r="BO163" s="110"/>
      <c r="BP163" s="110"/>
      <c r="BQ163" s="110"/>
      <c r="BR163" s="110"/>
      <c r="BS163" s="110"/>
      <c r="BT163" s="110"/>
      <c r="BU163" s="110"/>
      <c r="BV163" s="110"/>
      <c r="BW163" s="110"/>
      <c r="BX163" s="113"/>
      <c r="BY163" s="110"/>
      <c r="BZ163" s="110"/>
      <c r="CA163" s="110"/>
      <c r="CB163" s="110"/>
      <c r="CC163" s="110"/>
      <c r="CD163" s="110"/>
      <c r="CE163" s="110"/>
      <c r="CF163" s="110"/>
      <c r="CG163" s="113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66"/>
      <c r="DA163" s="70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56"/>
      <c r="DR163" s="57"/>
      <c r="DS163" s="58"/>
      <c r="DT163" s="58"/>
      <c r="DU163" s="58"/>
      <c r="DV163" s="58"/>
      <c r="DW163" s="58"/>
      <c r="DX163" s="58"/>
      <c r="DY163" s="58"/>
      <c r="DZ163" s="59"/>
      <c r="EA163" s="60"/>
      <c r="EB163" s="61"/>
      <c r="EC163" s="62"/>
      <c r="ED163" s="2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80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5"/>
      <c r="FH163" s="84"/>
      <c r="FI163" s="64"/>
      <c r="FJ163" s="8"/>
      <c r="FK163" s="48"/>
      <c r="FL163" s="48"/>
      <c r="FM163" s="48"/>
      <c r="FN163" s="48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8"/>
      <c r="GG163" s="48"/>
      <c r="GH163" s="48"/>
      <c r="GI163" s="48"/>
      <c r="GJ163" s="8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77"/>
      <c r="GY163" s="77"/>
      <c r="GZ163" s="77"/>
    </row>
    <row r="164" spans="1:208">
      <c r="A164" s="48"/>
      <c r="B164" s="49"/>
      <c r="C164" s="50"/>
      <c r="D164" s="51"/>
      <c r="E164" s="50"/>
      <c r="F164" s="52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90"/>
      <c r="V164" s="91"/>
      <c r="W164" s="92"/>
      <c r="X164" s="92"/>
      <c r="Y164" s="92"/>
      <c r="Z164" s="91"/>
      <c r="AA164" s="93"/>
      <c r="AB164" s="99"/>
      <c r="AC164" s="54"/>
      <c r="AD164" s="54"/>
      <c r="AE164" s="54"/>
      <c r="AF164" s="54"/>
      <c r="AG164" s="54"/>
      <c r="AH164" s="54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113"/>
      <c r="BB164" s="110"/>
      <c r="BC164" s="110"/>
      <c r="BD164" s="110"/>
      <c r="BE164" s="110"/>
      <c r="BF164" s="110"/>
      <c r="BG164" s="110"/>
      <c r="BH164" s="110"/>
      <c r="BI164" s="113"/>
      <c r="BJ164" s="110"/>
      <c r="BK164" s="110"/>
      <c r="BL164" s="110"/>
      <c r="BM164" s="110"/>
      <c r="BN164" s="113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3"/>
      <c r="BY164" s="110"/>
      <c r="BZ164" s="110"/>
      <c r="CA164" s="110"/>
      <c r="CB164" s="110"/>
      <c r="CC164" s="110"/>
      <c r="CD164" s="110"/>
      <c r="CE164" s="110"/>
      <c r="CF164" s="110"/>
      <c r="CG164" s="113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66"/>
      <c r="DA164" s="70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56"/>
      <c r="DR164" s="57"/>
      <c r="DS164" s="58"/>
      <c r="DT164" s="58"/>
      <c r="DU164" s="58"/>
      <c r="DV164" s="58"/>
      <c r="DW164" s="58"/>
      <c r="DX164" s="58"/>
      <c r="DY164" s="58"/>
      <c r="DZ164" s="59"/>
      <c r="EA164" s="60"/>
      <c r="EB164" s="61"/>
      <c r="EC164" s="62"/>
      <c r="ED164" s="2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80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5"/>
      <c r="FH164" s="84"/>
      <c r="FI164" s="64"/>
      <c r="FJ164" s="8"/>
      <c r="FK164" s="48"/>
      <c r="FL164" s="48"/>
      <c r="FM164" s="48"/>
      <c r="FN164" s="48"/>
      <c r="FO164" s="48"/>
      <c r="FP164" s="48"/>
      <c r="FQ164" s="48"/>
      <c r="FR164" s="48"/>
      <c r="FS164" s="48"/>
      <c r="FT164" s="48"/>
      <c r="FU164" s="48"/>
      <c r="FV164" s="48"/>
      <c r="FW164" s="48"/>
      <c r="FX164" s="48"/>
      <c r="FY164" s="48"/>
      <c r="FZ164" s="48"/>
      <c r="GA164" s="48"/>
      <c r="GB164" s="48"/>
      <c r="GC164" s="48"/>
      <c r="GD164" s="48"/>
      <c r="GE164" s="48"/>
      <c r="GF164" s="48"/>
      <c r="GG164" s="48"/>
      <c r="GH164" s="48"/>
      <c r="GI164" s="48"/>
      <c r="GJ164" s="8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77"/>
      <c r="GY164" s="77"/>
      <c r="GZ164" s="77"/>
    </row>
    <row r="165" spans="1:208">
      <c r="A165" s="48"/>
      <c r="B165" s="49"/>
      <c r="C165" s="50"/>
      <c r="D165" s="51"/>
      <c r="E165" s="50"/>
      <c r="F165" s="52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90"/>
      <c r="V165" s="91"/>
      <c r="W165" s="92"/>
      <c r="X165" s="92"/>
      <c r="Y165" s="92"/>
      <c r="Z165" s="91"/>
      <c r="AA165" s="93"/>
      <c r="AB165" s="99"/>
      <c r="AC165" s="54"/>
      <c r="AD165" s="54"/>
      <c r="AE165" s="54"/>
      <c r="AF165" s="54"/>
      <c r="AG165" s="54"/>
      <c r="AH165" s="54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113"/>
      <c r="BB165" s="110"/>
      <c r="BC165" s="110"/>
      <c r="BD165" s="110"/>
      <c r="BE165" s="110"/>
      <c r="BF165" s="110"/>
      <c r="BG165" s="110"/>
      <c r="BH165" s="110"/>
      <c r="BI165" s="113"/>
      <c r="BJ165" s="110"/>
      <c r="BK165" s="110"/>
      <c r="BL165" s="110"/>
      <c r="BM165" s="110"/>
      <c r="BN165" s="113"/>
      <c r="BO165" s="110"/>
      <c r="BP165" s="110"/>
      <c r="BQ165" s="110"/>
      <c r="BR165" s="110"/>
      <c r="BS165" s="110"/>
      <c r="BT165" s="110"/>
      <c r="BU165" s="110"/>
      <c r="BV165" s="110"/>
      <c r="BW165" s="110"/>
      <c r="BX165" s="113"/>
      <c r="BY165" s="110"/>
      <c r="BZ165" s="110"/>
      <c r="CA165" s="110"/>
      <c r="CB165" s="110"/>
      <c r="CC165" s="110"/>
      <c r="CD165" s="110"/>
      <c r="CE165" s="110"/>
      <c r="CF165" s="110"/>
      <c r="CG165" s="113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66"/>
      <c r="DA165" s="70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56"/>
      <c r="DR165" s="57"/>
      <c r="DS165" s="58"/>
      <c r="DT165" s="58"/>
      <c r="DU165" s="58"/>
      <c r="DV165" s="58"/>
      <c r="DW165" s="58"/>
      <c r="DX165" s="58"/>
      <c r="DY165" s="58"/>
      <c r="DZ165" s="59"/>
      <c r="EA165" s="60"/>
      <c r="EB165" s="61"/>
      <c r="EC165" s="62"/>
      <c r="ED165" s="2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80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5"/>
      <c r="FH165" s="84"/>
      <c r="FI165" s="64"/>
      <c r="FJ165" s="8"/>
      <c r="FK165" s="48"/>
      <c r="FL165" s="48"/>
      <c r="FM165" s="48"/>
      <c r="FN165" s="48"/>
      <c r="FO165" s="48"/>
      <c r="FP165" s="48"/>
      <c r="FQ165" s="48"/>
      <c r="FR165" s="48"/>
      <c r="FS165" s="48"/>
      <c r="FT165" s="48"/>
      <c r="FU165" s="48"/>
      <c r="FV165" s="48"/>
      <c r="FW165" s="48"/>
      <c r="FX165" s="48"/>
      <c r="FY165" s="48"/>
      <c r="FZ165" s="48"/>
      <c r="GA165" s="48"/>
      <c r="GB165" s="48"/>
      <c r="GC165" s="48"/>
      <c r="GD165" s="48"/>
      <c r="GE165" s="48"/>
      <c r="GF165" s="48"/>
      <c r="GG165" s="48"/>
      <c r="GH165" s="48"/>
      <c r="GI165" s="48"/>
      <c r="GJ165" s="8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77"/>
      <c r="GY165" s="77"/>
      <c r="GZ165" s="77"/>
    </row>
    <row r="166" spans="1:208">
      <c r="A166" s="48"/>
      <c r="B166" s="49"/>
      <c r="C166" s="50"/>
      <c r="D166" s="51"/>
      <c r="E166" s="50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90"/>
      <c r="V166" s="91"/>
      <c r="W166" s="92"/>
      <c r="X166" s="92"/>
      <c r="Y166" s="92"/>
      <c r="Z166" s="91"/>
      <c r="AA166" s="93"/>
      <c r="AB166" s="99"/>
      <c r="AC166" s="54"/>
      <c r="AD166" s="54"/>
      <c r="AE166" s="54"/>
      <c r="AF166" s="54"/>
      <c r="AG166" s="54"/>
      <c r="AH166" s="54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113"/>
      <c r="BB166" s="110"/>
      <c r="BC166" s="110"/>
      <c r="BD166" s="110"/>
      <c r="BE166" s="110"/>
      <c r="BF166" s="110"/>
      <c r="BG166" s="110"/>
      <c r="BH166" s="110"/>
      <c r="BI166" s="113"/>
      <c r="BJ166" s="110"/>
      <c r="BK166" s="110"/>
      <c r="BL166" s="110"/>
      <c r="BM166" s="110"/>
      <c r="BN166" s="113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3"/>
      <c r="BY166" s="110"/>
      <c r="BZ166" s="110"/>
      <c r="CA166" s="110"/>
      <c r="CB166" s="110"/>
      <c r="CC166" s="110"/>
      <c r="CD166" s="110"/>
      <c r="CE166" s="110"/>
      <c r="CF166" s="110"/>
      <c r="CG166" s="113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66"/>
      <c r="DA166" s="70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56"/>
      <c r="DR166" s="57"/>
      <c r="DS166" s="58"/>
      <c r="DT166" s="58"/>
      <c r="DU166" s="58"/>
      <c r="DV166" s="58"/>
      <c r="DW166" s="58"/>
      <c r="DX166" s="58"/>
      <c r="DY166" s="58"/>
      <c r="DZ166" s="59"/>
      <c r="EA166" s="60"/>
      <c r="EB166" s="61"/>
      <c r="EC166" s="62"/>
      <c r="ED166" s="2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80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5"/>
      <c r="FH166" s="84"/>
      <c r="FI166" s="64"/>
      <c r="FJ166" s="8"/>
      <c r="FK166" s="48"/>
      <c r="FL166" s="48"/>
      <c r="FM166" s="48"/>
      <c r="FN166" s="48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8"/>
      <c r="GG166" s="48"/>
      <c r="GH166" s="48"/>
      <c r="GI166" s="48"/>
      <c r="GJ166" s="8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77"/>
      <c r="GY166" s="77"/>
      <c r="GZ166" s="77"/>
    </row>
    <row r="167" spans="1:208">
      <c r="A167" s="48"/>
      <c r="B167" s="49"/>
      <c r="C167" s="50"/>
      <c r="D167" s="51"/>
      <c r="E167" s="50"/>
      <c r="F167" s="52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90"/>
      <c r="V167" s="91"/>
      <c r="W167" s="92"/>
      <c r="X167" s="92"/>
      <c r="Y167" s="92"/>
      <c r="Z167" s="91"/>
      <c r="AA167" s="93"/>
      <c r="AB167" s="99"/>
      <c r="AC167" s="54"/>
      <c r="AD167" s="54"/>
      <c r="AE167" s="54"/>
      <c r="AF167" s="54"/>
      <c r="AG167" s="54"/>
      <c r="AH167" s="54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113"/>
      <c r="BB167" s="110"/>
      <c r="BC167" s="110"/>
      <c r="BD167" s="110"/>
      <c r="BE167" s="110"/>
      <c r="BF167" s="110"/>
      <c r="BG167" s="110"/>
      <c r="BH167" s="110"/>
      <c r="BI167" s="113"/>
      <c r="BJ167" s="110"/>
      <c r="BK167" s="110"/>
      <c r="BL167" s="110"/>
      <c r="BM167" s="110"/>
      <c r="BN167" s="113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3"/>
      <c r="BY167" s="110"/>
      <c r="BZ167" s="110"/>
      <c r="CA167" s="110"/>
      <c r="CB167" s="110"/>
      <c r="CC167" s="110"/>
      <c r="CD167" s="110"/>
      <c r="CE167" s="110"/>
      <c r="CF167" s="110"/>
      <c r="CG167" s="113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66"/>
      <c r="DA167" s="70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56"/>
      <c r="DR167" s="57"/>
      <c r="DS167" s="58"/>
      <c r="DT167" s="58"/>
      <c r="DU167" s="58"/>
      <c r="DV167" s="58"/>
      <c r="DW167" s="58"/>
      <c r="DX167" s="58"/>
      <c r="DY167" s="58"/>
      <c r="DZ167" s="59"/>
      <c r="EA167" s="60"/>
      <c r="EB167" s="61"/>
      <c r="EC167" s="62"/>
      <c r="ED167" s="2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80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5"/>
      <c r="FH167" s="84"/>
      <c r="FI167" s="64"/>
      <c r="FJ167" s="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8"/>
      <c r="GG167" s="48"/>
      <c r="GH167" s="48"/>
      <c r="GI167" s="48"/>
      <c r="GJ167" s="8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77"/>
      <c r="GY167" s="77"/>
      <c r="GZ167" s="77"/>
    </row>
    <row r="168" spans="1:208">
      <c r="A168" s="48"/>
      <c r="B168" s="49"/>
      <c r="C168" s="50"/>
      <c r="D168" s="51"/>
      <c r="E168" s="50"/>
      <c r="F168" s="52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90"/>
      <c r="V168" s="91"/>
      <c r="W168" s="92"/>
      <c r="X168" s="92"/>
      <c r="Y168" s="92"/>
      <c r="Z168" s="91"/>
      <c r="AA168" s="93"/>
      <c r="AB168" s="99"/>
      <c r="AC168" s="54"/>
      <c r="AD168" s="54"/>
      <c r="AE168" s="54"/>
      <c r="AF168" s="54"/>
      <c r="AG168" s="54"/>
      <c r="AH168" s="54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113"/>
      <c r="BB168" s="110"/>
      <c r="BC168" s="110"/>
      <c r="BD168" s="110"/>
      <c r="BE168" s="110"/>
      <c r="BF168" s="110"/>
      <c r="BG168" s="110"/>
      <c r="BH168" s="110"/>
      <c r="BI168" s="113"/>
      <c r="BJ168" s="110"/>
      <c r="BK168" s="110"/>
      <c r="BL168" s="110"/>
      <c r="BM168" s="110"/>
      <c r="BN168" s="113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3"/>
      <c r="BY168" s="110"/>
      <c r="BZ168" s="110"/>
      <c r="CA168" s="110"/>
      <c r="CB168" s="110"/>
      <c r="CC168" s="110"/>
      <c r="CD168" s="110"/>
      <c r="CE168" s="110"/>
      <c r="CF168" s="110"/>
      <c r="CG168" s="113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66"/>
      <c r="DA168" s="70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56"/>
      <c r="DR168" s="57"/>
      <c r="DS168" s="58"/>
      <c r="DT168" s="58"/>
      <c r="DU168" s="58"/>
      <c r="DV168" s="58"/>
      <c r="DW168" s="58"/>
      <c r="DX168" s="58"/>
      <c r="DY168" s="58"/>
      <c r="DZ168" s="59"/>
      <c r="EA168" s="60"/>
      <c r="EB168" s="61"/>
      <c r="EC168" s="62"/>
      <c r="ED168" s="2"/>
      <c r="EE168" s="63"/>
      <c r="EF168" s="63"/>
      <c r="EG168" s="63"/>
      <c r="EH168" s="63"/>
      <c r="EI168" s="63"/>
      <c r="EJ168" s="63"/>
      <c r="EK168" s="63"/>
      <c r="EL168" s="63"/>
      <c r="EM168" s="63"/>
      <c r="EN168" s="63"/>
      <c r="EO168" s="63"/>
      <c r="EP168" s="63"/>
      <c r="EQ168" s="63"/>
      <c r="ER168" s="63"/>
      <c r="ES168" s="63"/>
      <c r="ET168" s="63"/>
      <c r="EU168" s="80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5"/>
      <c r="FH168" s="84"/>
      <c r="FI168" s="64"/>
      <c r="FJ168" s="8"/>
      <c r="FK168" s="48"/>
      <c r="FL168" s="48"/>
      <c r="FM168" s="48"/>
      <c r="FN168" s="48"/>
      <c r="FO168" s="48"/>
      <c r="FP168" s="48"/>
      <c r="FQ168" s="48"/>
      <c r="FR168" s="48"/>
      <c r="FS168" s="48"/>
      <c r="FT168" s="48"/>
      <c r="FU168" s="48"/>
      <c r="FV168" s="48"/>
      <c r="FW168" s="48"/>
      <c r="FX168" s="48"/>
      <c r="FY168" s="48"/>
      <c r="FZ168" s="48"/>
      <c r="GA168" s="48"/>
      <c r="GB168" s="48"/>
      <c r="GC168" s="48"/>
      <c r="GD168" s="48"/>
      <c r="GE168" s="48"/>
      <c r="GF168" s="48"/>
      <c r="GG168" s="48"/>
      <c r="GH168" s="48"/>
      <c r="GI168" s="48"/>
      <c r="GJ168" s="8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77"/>
      <c r="GY168" s="77"/>
      <c r="GZ168" s="77"/>
    </row>
    <row r="169" spans="1:208">
      <c r="A169" s="48"/>
      <c r="B169" s="49"/>
      <c r="C169" s="50"/>
      <c r="D169" s="51"/>
      <c r="E169" s="50"/>
      <c r="F169" s="52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90"/>
      <c r="V169" s="91"/>
      <c r="W169" s="92"/>
      <c r="X169" s="92"/>
      <c r="Y169" s="92"/>
      <c r="Z169" s="91"/>
      <c r="AA169" s="93"/>
      <c r="AB169" s="99"/>
      <c r="AC169" s="54"/>
      <c r="AD169" s="54"/>
      <c r="AE169" s="54"/>
      <c r="AF169" s="54"/>
      <c r="AG169" s="54"/>
      <c r="AH169" s="54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113"/>
      <c r="BB169" s="110"/>
      <c r="BC169" s="110"/>
      <c r="BD169" s="110"/>
      <c r="BE169" s="110"/>
      <c r="BF169" s="110"/>
      <c r="BG169" s="110"/>
      <c r="BH169" s="110"/>
      <c r="BI169" s="113"/>
      <c r="BJ169" s="110"/>
      <c r="BK169" s="110"/>
      <c r="BL169" s="110"/>
      <c r="BM169" s="110"/>
      <c r="BN169" s="113"/>
      <c r="BO169" s="110"/>
      <c r="BP169" s="110"/>
      <c r="BQ169" s="110"/>
      <c r="BR169" s="110"/>
      <c r="BS169" s="110"/>
      <c r="BT169" s="110"/>
      <c r="BU169" s="110"/>
      <c r="BV169" s="110"/>
      <c r="BW169" s="110"/>
      <c r="BX169" s="113"/>
      <c r="BY169" s="110"/>
      <c r="BZ169" s="110"/>
      <c r="CA169" s="110"/>
      <c r="CB169" s="110"/>
      <c r="CC169" s="110"/>
      <c r="CD169" s="110"/>
      <c r="CE169" s="110"/>
      <c r="CF169" s="110"/>
      <c r="CG169" s="113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66"/>
      <c r="DA169" s="70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56"/>
      <c r="DR169" s="57"/>
      <c r="DS169" s="58"/>
      <c r="DT169" s="58"/>
      <c r="DU169" s="58"/>
      <c r="DV169" s="58"/>
      <c r="DW169" s="58"/>
      <c r="DX169" s="58"/>
      <c r="DY169" s="58"/>
      <c r="DZ169" s="59"/>
      <c r="EA169" s="60"/>
      <c r="EB169" s="61"/>
      <c r="EC169" s="62"/>
      <c r="ED169" s="2"/>
      <c r="EE169" s="63"/>
      <c r="EF169" s="63"/>
      <c r="EG169" s="63"/>
      <c r="EH169" s="63"/>
      <c r="EI169" s="63"/>
      <c r="EJ169" s="63"/>
      <c r="EK169" s="63"/>
      <c r="EL169" s="63"/>
      <c r="EM169" s="63"/>
      <c r="EN169" s="63"/>
      <c r="EO169" s="63"/>
      <c r="EP169" s="63"/>
      <c r="EQ169" s="63"/>
      <c r="ER169" s="63"/>
      <c r="ES169" s="63"/>
      <c r="ET169" s="63"/>
      <c r="EU169" s="80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5"/>
      <c r="FH169" s="84"/>
      <c r="FI169" s="64"/>
      <c r="FJ169" s="8"/>
      <c r="FK169" s="48"/>
      <c r="FL169" s="48"/>
      <c r="FM169" s="48"/>
      <c r="FN169" s="48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8"/>
      <c r="GG169" s="48"/>
      <c r="GH169" s="48"/>
      <c r="GI169" s="48"/>
      <c r="GJ169" s="8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77"/>
      <c r="GY169" s="77"/>
      <c r="GZ169" s="77"/>
    </row>
    <row r="170" spans="1:208">
      <c r="A170" s="48"/>
      <c r="B170" s="49"/>
      <c r="C170" s="50"/>
      <c r="D170" s="51"/>
      <c r="E170" s="50"/>
      <c r="F170" s="52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90"/>
      <c r="V170" s="91"/>
      <c r="W170" s="92"/>
      <c r="X170" s="92"/>
      <c r="Y170" s="92"/>
      <c r="Z170" s="91"/>
      <c r="AA170" s="93"/>
      <c r="AB170" s="99"/>
      <c r="AC170" s="54"/>
      <c r="AD170" s="54"/>
      <c r="AE170" s="54"/>
      <c r="AF170" s="54"/>
      <c r="AG170" s="54"/>
      <c r="AH170" s="54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113"/>
      <c r="BB170" s="110"/>
      <c r="BC170" s="110"/>
      <c r="BD170" s="110"/>
      <c r="BE170" s="110"/>
      <c r="BF170" s="110"/>
      <c r="BG170" s="110"/>
      <c r="BH170" s="110"/>
      <c r="BI170" s="113"/>
      <c r="BJ170" s="110"/>
      <c r="BK170" s="110"/>
      <c r="BL170" s="110"/>
      <c r="BM170" s="110"/>
      <c r="BN170" s="113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3"/>
      <c r="BY170" s="110"/>
      <c r="BZ170" s="110"/>
      <c r="CA170" s="110"/>
      <c r="CB170" s="110"/>
      <c r="CC170" s="110"/>
      <c r="CD170" s="110"/>
      <c r="CE170" s="110"/>
      <c r="CF170" s="110"/>
      <c r="CG170" s="113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66"/>
      <c r="DA170" s="70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56"/>
      <c r="DR170" s="57"/>
      <c r="DS170" s="58"/>
      <c r="DT170" s="58"/>
      <c r="DU170" s="58"/>
      <c r="DV170" s="58"/>
      <c r="DW170" s="58"/>
      <c r="DX170" s="58"/>
      <c r="DY170" s="58"/>
      <c r="DZ170" s="59"/>
      <c r="EA170" s="60"/>
      <c r="EB170" s="61"/>
      <c r="EC170" s="62"/>
      <c r="ED170" s="2"/>
      <c r="EE170" s="63"/>
      <c r="EF170" s="63"/>
      <c r="EG170" s="63"/>
      <c r="EH170" s="63"/>
      <c r="EI170" s="63"/>
      <c r="EJ170" s="63"/>
      <c r="EK170" s="63"/>
      <c r="EL170" s="63"/>
      <c r="EM170" s="63"/>
      <c r="EN170" s="63"/>
      <c r="EO170" s="63"/>
      <c r="EP170" s="63"/>
      <c r="EQ170" s="63"/>
      <c r="ER170" s="63"/>
      <c r="ES170" s="63"/>
      <c r="ET170" s="63"/>
      <c r="EU170" s="80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5"/>
      <c r="FH170" s="84"/>
      <c r="FI170" s="64"/>
      <c r="FJ170" s="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8"/>
      <c r="GG170" s="48"/>
      <c r="GH170" s="48"/>
      <c r="GI170" s="48"/>
      <c r="GJ170" s="8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77"/>
      <c r="GY170" s="77"/>
      <c r="GZ170" s="77"/>
    </row>
    <row r="171" spans="1:208">
      <c r="A171" s="48"/>
      <c r="B171" s="49"/>
      <c r="C171" s="50"/>
      <c r="D171" s="51"/>
      <c r="E171" s="50"/>
      <c r="F171" s="52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90"/>
      <c r="V171" s="91"/>
      <c r="W171" s="92"/>
      <c r="X171" s="92"/>
      <c r="Y171" s="92"/>
      <c r="Z171" s="91"/>
      <c r="AA171" s="93"/>
      <c r="AB171" s="99"/>
      <c r="AC171" s="54"/>
      <c r="AD171" s="54"/>
      <c r="AE171" s="54"/>
      <c r="AF171" s="54"/>
      <c r="AG171" s="54"/>
      <c r="AH171" s="54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113"/>
      <c r="BB171" s="110"/>
      <c r="BC171" s="110"/>
      <c r="BD171" s="110"/>
      <c r="BE171" s="110"/>
      <c r="BF171" s="110"/>
      <c r="BG171" s="110"/>
      <c r="BH171" s="110"/>
      <c r="BI171" s="113"/>
      <c r="BJ171" s="110"/>
      <c r="BK171" s="110"/>
      <c r="BL171" s="110"/>
      <c r="BM171" s="110"/>
      <c r="BN171" s="113"/>
      <c r="BO171" s="110"/>
      <c r="BP171" s="110"/>
      <c r="BQ171" s="110"/>
      <c r="BR171" s="110"/>
      <c r="BS171" s="110"/>
      <c r="BT171" s="110"/>
      <c r="BU171" s="110"/>
      <c r="BV171" s="110"/>
      <c r="BW171" s="110"/>
      <c r="BX171" s="113"/>
      <c r="BY171" s="110"/>
      <c r="BZ171" s="110"/>
      <c r="CA171" s="110"/>
      <c r="CB171" s="110"/>
      <c r="CC171" s="110"/>
      <c r="CD171" s="110"/>
      <c r="CE171" s="110"/>
      <c r="CF171" s="110"/>
      <c r="CG171" s="113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66"/>
      <c r="DA171" s="70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56"/>
      <c r="DR171" s="57"/>
      <c r="DS171" s="58"/>
      <c r="DT171" s="58"/>
      <c r="DU171" s="58"/>
      <c r="DV171" s="58"/>
      <c r="DW171" s="58"/>
      <c r="DX171" s="58"/>
      <c r="DY171" s="58"/>
      <c r="DZ171" s="59"/>
      <c r="EA171" s="60"/>
      <c r="EB171" s="61"/>
      <c r="EC171" s="62"/>
      <c r="ED171" s="2"/>
      <c r="EE171" s="63"/>
      <c r="EF171" s="63"/>
      <c r="EG171" s="63"/>
      <c r="EH171" s="63"/>
      <c r="EI171" s="63"/>
      <c r="EJ171" s="63"/>
      <c r="EK171" s="63"/>
      <c r="EL171" s="63"/>
      <c r="EM171" s="63"/>
      <c r="EN171" s="63"/>
      <c r="EO171" s="63"/>
      <c r="EP171" s="63"/>
      <c r="EQ171" s="63"/>
      <c r="ER171" s="63"/>
      <c r="ES171" s="63"/>
      <c r="ET171" s="63"/>
      <c r="EU171" s="80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5"/>
      <c r="FH171" s="84"/>
      <c r="FI171" s="64"/>
      <c r="FJ171" s="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8"/>
      <c r="GG171" s="48"/>
      <c r="GH171" s="48"/>
      <c r="GI171" s="48"/>
      <c r="GJ171" s="8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77"/>
      <c r="GY171" s="77"/>
      <c r="GZ171" s="77"/>
    </row>
    <row r="172" spans="1:208">
      <c r="A172" s="48"/>
      <c r="B172" s="49"/>
      <c r="C172" s="50"/>
      <c r="D172" s="51"/>
      <c r="E172" s="50"/>
      <c r="F172" s="52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90"/>
      <c r="V172" s="91"/>
      <c r="W172" s="92"/>
      <c r="X172" s="92"/>
      <c r="Y172" s="92"/>
      <c r="Z172" s="91"/>
      <c r="AA172" s="93"/>
      <c r="AB172" s="99"/>
      <c r="AC172" s="54"/>
      <c r="AD172" s="54"/>
      <c r="AE172" s="54"/>
      <c r="AF172" s="54"/>
      <c r="AG172" s="54"/>
      <c r="AH172" s="54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113"/>
      <c r="BB172" s="110"/>
      <c r="BC172" s="110"/>
      <c r="BD172" s="110"/>
      <c r="BE172" s="110"/>
      <c r="BF172" s="110"/>
      <c r="BG172" s="110"/>
      <c r="BH172" s="110"/>
      <c r="BI172" s="113"/>
      <c r="BJ172" s="110"/>
      <c r="BK172" s="110"/>
      <c r="BL172" s="110"/>
      <c r="BM172" s="110"/>
      <c r="BN172" s="113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3"/>
      <c r="BY172" s="110"/>
      <c r="BZ172" s="110"/>
      <c r="CA172" s="110"/>
      <c r="CB172" s="110"/>
      <c r="CC172" s="110"/>
      <c r="CD172" s="110"/>
      <c r="CE172" s="110"/>
      <c r="CF172" s="110"/>
      <c r="CG172" s="113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66"/>
      <c r="DA172" s="70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56"/>
      <c r="DR172" s="57"/>
      <c r="DS172" s="58"/>
      <c r="DT172" s="58"/>
      <c r="DU172" s="58"/>
      <c r="DV172" s="58"/>
      <c r="DW172" s="58"/>
      <c r="DX172" s="58"/>
      <c r="DY172" s="58"/>
      <c r="DZ172" s="59"/>
      <c r="EA172" s="60"/>
      <c r="EB172" s="61"/>
      <c r="EC172" s="62"/>
      <c r="ED172" s="2"/>
      <c r="EE172" s="63"/>
      <c r="EF172" s="63"/>
      <c r="EG172" s="63"/>
      <c r="EH172" s="63"/>
      <c r="EI172" s="63"/>
      <c r="EJ172" s="63"/>
      <c r="EK172" s="63"/>
      <c r="EL172" s="63"/>
      <c r="EM172" s="63"/>
      <c r="EN172" s="63"/>
      <c r="EO172" s="63"/>
      <c r="EP172" s="63"/>
      <c r="EQ172" s="63"/>
      <c r="ER172" s="63"/>
      <c r="ES172" s="63"/>
      <c r="ET172" s="63"/>
      <c r="EU172" s="80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5"/>
      <c r="FH172" s="84"/>
      <c r="FI172" s="64"/>
      <c r="FJ172" s="8"/>
      <c r="FK172" s="48"/>
      <c r="FL172" s="48"/>
      <c r="FM172" s="48"/>
      <c r="FN172" s="48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8"/>
      <c r="GG172" s="48"/>
      <c r="GH172" s="48"/>
      <c r="GI172" s="48"/>
      <c r="GJ172" s="8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77"/>
      <c r="GY172" s="77"/>
      <c r="GZ172" s="77"/>
    </row>
    <row r="173" spans="1:208">
      <c r="A173" s="48"/>
      <c r="B173" s="49"/>
      <c r="C173" s="50"/>
      <c r="D173" s="51"/>
      <c r="E173" s="50"/>
      <c r="F173" s="52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90"/>
      <c r="V173" s="91"/>
      <c r="W173" s="92"/>
      <c r="X173" s="92"/>
      <c r="Y173" s="92"/>
      <c r="Z173" s="91"/>
      <c r="AA173" s="93"/>
      <c r="AB173" s="99"/>
      <c r="AC173" s="54"/>
      <c r="AD173" s="54"/>
      <c r="AE173" s="54"/>
      <c r="AF173" s="54"/>
      <c r="AG173" s="54"/>
      <c r="AH173" s="54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113"/>
      <c r="BB173" s="110"/>
      <c r="BC173" s="110"/>
      <c r="BD173" s="110"/>
      <c r="BE173" s="110"/>
      <c r="BF173" s="110"/>
      <c r="BG173" s="110"/>
      <c r="BH173" s="110"/>
      <c r="BI173" s="113"/>
      <c r="BJ173" s="110"/>
      <c r="BK173" s="110"/>
      <c r="BL173" s="110"/>
      <c r="BM173" s="110"/>
      <c r="BN173" s="113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3"/>
      <c r="BY173" s="110"/>
      <c r="BZ173" s="110"/>
      <c r="CA173" s="110"/>
      <c r="CB173" s="110"/>
      <c r="CC173" s="110"/>
      <c r="CD173" s="110"/>
      <c r="CE173" s="110"/>
      <c r="CF173" s="110"/>
      <c r="CG173" s="113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66"/>
      <c r="DA173" s="70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56"/>
      <c r="DR173" s="57"/>
      <c r="DS173" s="58"/>
      <c r="DT173" s="58"/>
      <c r="DU173" s="58"/>
      <c r="DV173" s="58"/>
      <c r="DW173" s="58"/>
      <c r="DX173" s="58"/>
      <c r="DY173" s="58"/>
      <c r="DZ173" s="59"/>
      <c r="EA173" s="60"/>
      <c r="EB173" s="61"/>
      <c r="EC173" s="62"/>
      <c r="ED173" s="2"/>
      <c r="EE173" s="63"/>
      <c r="EF173" s="63"/>
      <c r="EG173" s="63"/>
      <c r="EH173" s="63"/>
      <c r="EI173" s="63"/>
      <c r="EJ173" s="63"/>
      <c r="EK173" s="63"/>
      <c r="EL173" s="63"/>
      <c r="EM173" s="63"/>
      <c r="EN173" s="63"/>
      <c r="EO173" s="63"/>
      <c r="EP173" s="63"/>
      <c r="EQ173" s="63"/>
      <c r="ER173" s="63"/>
      <c r="ES173" s="63"/>
      <c r="ET173" s="63"/>
      <c r="EU173" s="80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5"/>
      <c r="FH173" s="84"/>
      <c r="FI173" s="64"/>
      <c r="FJ173" s="8"/>
      <c r="FK173" s="48"/>
      <c r="FL173" s="48"/>
      <c r="FM173" s="48"/>
      <c r="FN173" s="48"/>
      <c r="FO173" s="48"/>
      <c r="FP173" s="48"/>
      <c r="FQ173" s="48"/>
      <c r="FR173" s="48"/>
      <c r="FS173" s="48"/>
      <c r="FT173" s="48"/>
      <c r="FU173" s="48"/>
      <c r="FV173" s="48"/>
      <c r="FW173" s="48"/>
      <c r="FX173" s="48"/>
      <c r="FY173" s="48"/>
      <c r="FZ173" s="48"/>
      <c r="GA173" s="48"/>
      <c r="GB173" s="48"/>
      <c r="GC173" s="48"/>
      <c r="GD173" s="48"/>
      <c r="GE173" s="48"/>
      <c r="GF173" s="48"/>
      <c r="GG173" s="48"/>
      <c r="GH173" s="48"/>
      <c r="GI173" s="48"/>
      <c r="GJ173" s="8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77"/>
      <c r="GY173" s="77"/>
      <c r="GZ173" s="77"/>
    </row>
    <row r="174" spans="1:208">
      <c r="A174" s="48"/>
      <c r="B174" s="49"/>
      <c r="C174" s="50"/>
      <c r="D174" s="51"/>
      <c r="E174" s="50"/>
      <c r="F174" s="52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90"/>
      <c r="V174" s="91"/>
      <c r="W174" s="92"/>
      <c r="X174" s="92"/>
      <c r="Y174" s="92"/>
      <c r="Z174" s="91"/>
      <c r="AA174" s="93"/>
      <c r="AB174" s="99"/>
      <c r="AC174" s="54"/>
      <c r="AD174" s="54"/>
      <c r="AE174" s="54"/>
      <c r="AF174" s="54"/>
      <c r="AG174" s="54"/>
      <c r="AH174" s="54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113"/>
      <c r="BB174" s="110"/>
      <c r="BC174" s="110"/>
      <c r="BD174" s="110"/>
      <c r="BE174" s="110"/>
      <c r="BF174" s="110"/>
      <c r="BG174" s="110"/>
      <c r="BH174" s="110"/>
      <c r="BI174" s="113"/>
      <c r="BJ174" s="110"/>
      <c r="BK174" s="110"/>
      <c r="BL174" s="110"/>
      <c r="BM174" s="110"/>
      <c r="BN174" s="113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3"/>
      <c r="BY174" s="110"/>
      <c r="BZ174" s="110"/>
      <c r="CA174" s="110"/>
      <c r="CB174" s="110"/>
      <c r="CC174" s="110"/>
      <c r="CD174" s="110"/>
      <c r="CE174" s="110"/>
      <c r="CF174" s="110"/>
      <c r="CG174" s="113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66"/>
      <c r="DA174" s="70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56"/>
      <c r="DR174" s="57"/>
      <c r="DS174" s="58"/>
      <c r="DT174" s="58"/>
      <c r="DU174" s="58"/>
      <c r="DV174" s="58"/>
      <c r="DW174" s="58"/>
      <c r="DX174" s="58"/>
      <c r="DY174" s="58"/>
      <c r="DZ174" s="59"/>
      <c r="EA174" s="60"/>
      <c r="EB174" s="61"/>
      <c r="EC174" s="62"/>
      <c r="ED174" s="2"/>
      <c r="EE174" s="63"/>
      <c r="EF174" s="63"/>
      <c r="EG174" s="63"/>
      <c r="EH174" s="63"/>
      <c r="EI174" s="63"/>
      <c r="EJ174" s="63"/>
      <c r="EK174" s="63"/>
      <c r="EL174" s="63"/>
      <c r="EM174" s="63"/>
      <c r="EN174" s="63"/>
      <c r="EO174" s="63"/>
      <c r="EP174" s="63"/>
      <c r="EQ174" s="63"/>
      <c r="ER174" s="63"/>
      <c r="ES174" s="63"/>
      <c r="ET174" s="63"/>
      <c r="EU174" s="80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5"/>
      <c r="FH174" s="84"/>
      <c r="FI174" s="64"/>
      <c r="FJ174" s="8"/>
      <c r="FK174" s="48"/>
      <c r="FL174" s="48"/>
      <c r="FM174" s="48"/>
      <c r="FN174" s="48"/>
      <c r="FO174" s="48"/>
      <c r="FP174" s="48"/>
      <c r="FQ174" s="48"/>
      <c r="FR174" s="48"/>
      <c r="FS174" s="48"/>
      <c r="FT174" s="48"/>
      <c r="FU174" s="48"/>
      <c r="FV174" s="48"/>
      <c r="FW174" s="48"/>
      <c r="FX174" s="48"/>
      <c r="FY174" s="48"/>
      <c r="FZ174" s="48"/>
      <c r="GA174" s="48"/>
      <c r="GB174" s="48"/>
      <c r="GC174" s="48"/>
      <c r="GD174" s="48"/>
      <c r="GE174" s="48"/>
      <c r="GF174" s="48"/>
      <c r="GG174" s="48"/>
      <c r="GH174" s="48"/>
      <c r="GI174" s="48"/>
      <c r="GJ174" s="8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77"/>
      <c r="GY174" s="77"/>
      <c r="GZ174" s="77"/>
    </row>
    <row r="175" spans="1:208">
      <c r="A175" s="48"/>
      <c r="B175" s="49"/>
      <c r="C175" s="50"/>
      <c r="D175" s="51"/>
      <c r="E175" s="50"/>
      <c r="F175" s="52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90"/>
      <c r="V175" s="91"/>
      <c r="W175" s="92"/>
      <c r="X175" s="92"/>
      <c r="Y175" s="92"/>
      <c r="Z175" s="91"/>
      <c r="AA175" s="93"/>
      <c r="AB175" s="99"/>
      <c r="AC175" s="54"/>
      <c r="AD175" s="54"/>
      <c r="AE175" s="54"/>
      <c r="AF175" s="54"/>
      <c r="AG175" s="54"/>
      <c r="AH175" s="54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113"/>
      <c r="BB175" s="110"/>
      <c r="BC175" s="110"/>
      <c r="BD175" s="110"/>
      <c r="BE175" s="110"/>
      <c r="BF175" s="110"/>
      <c r="BG175" s="110"/>
      <c r="BH175" s="110"/>
      <c r="BI175" s="113"/>
      <c r="BJ175" s="110"/>
      <c r="BK175" s="110"/>
      <c r="BL175" s="110"/>
      <c r="BM175" s="110"/>
      <c r="BN175" s="113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3"/>
      <c r="BY175" s="110"/>
      <c r="BZ175" s="110"/>
      <c r="CA175" s="110"/>
      <c r="CB175" s="110"/>
      <c r="CC175" s="110"/>
      <c r="CD175" s="110"/>
      <c r="CE175" s="110"/>
      <c r="CF175" s="110"/>
      <c r="CG175" s="113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66"/>
      <c r="DA175" s="70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56"/>
      <c r="DR175" s="57"/>
      <c r="DS175" s="58"/>
      <c r="DT175" s="58"/>
      <c r="DU175" s="58"/>
      <c r="DV175" s="58"/>
      <c r="DW175" s="58"/>
      <c r="DX175" s="58"/>
      <c r="DY175" s="58"/>
      <c r="DZ175" s="59"/>
      <c r="EA175" s="60"/>
      <c r="EB175" s="61"/>
      <c r="EC175" s="62"/>
      <c r="ED175" s="2"/>
      <c r="EE175" s="63"/>
      <c r="EF175" s="63"/>
      <c r="EG175" s="63"/>
      <c r="EH175" s="63"/>
      <c r="EI175" s="63"/>
      <c r="EJ175" s="63"/>
      <c r="EK175" s="63"/>
      <c r="EL175" s="63"/>
      <c r="EM175" s="63"/>
      <c r="EN175" s="63"/>
      <c r="EO175" s="63"/>
      <c r="EP175" s="63"/>
      <c r="EQ175" s="63"/>
      <c r="ER175" s="63"/>
      <c r="ES175" s="63"/>
      <c r="ET175" s="63"/>
      <c r="EU175" s="80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5"/>
      <c r="FH175" s="84"/>
      <c r="FI175" s="64"/>
      <c r="FJ175" s="8"/>
      <c r="FK175" s="48"/>
      <c r="FL175" s="48"/>
      <c r="FM175" s="48"/>
      <c r="FN175" s="48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8"/>
      <c r="GG175" s="48"/>
      <c r="GH175" s="48"/>
      <c r="GI175" s="48"/>
      <c r="GJ175" s="8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77"/>
      <c r="GY175" s="77"/>
      <c r="GZ175" s="77"/>
    </row>
    <row r="176" spans="1:208">
      <c r="A176" s="48"/>
      <c r="B176" s="49"/>
      <c r="C176" s="50"/>
      <c r="D176" s="51"/>
      <c r="E176" s="50"/>
      <c r="F176" s="52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90"/>
      <c r="V176" s="91"/>
      <c r="W176" s="92"/>
      <c r="X176" s="92"/>
      <c r="Y176" s="92"/>
      <c r="Z176" s="91"/>
      <c r="AA176" s="93"/>
      <c r="AB176" s="99"/>
      <c r="AC176" s="54"/>
      <c r="AD176" s="54"/>
      <c r="AE176" s="54"/>
      <c r="AF176" s="54"/>
      <c r="AG176" s="54"/>
      <c r="AH176" s="54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113"/>
      <c r="BB176" s="110"/>
      <c r="BC176" s="110"/>
      <c r="BD176" s="110"/>
      <c r="BE176" s="110"/>
      <c r="BF176" s="110"/>
      <c r="BG176" s="110"/>
      <c r="BH176" s="110"/>
      <c r="BI176" s="113"/>
      <c r="BJ176" s="110"/>
      <c r="BK176" s="110"/>
      <c r="BL176" s="110"/>
      <c r="BM176" s="110"/>
      <c r="BN176" s="113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3"/>
      <c r="BY176" s="110"/>
      <c r="BZ176" s="110"/>
      <c r="CA176" s="110"/>
      <c r="CB176" s="110"/>
      <c r="CC176" s="110"/>
      <c r="CD176" s="110"/>
      <c r="CE176" s="110"/>
      <c r="CF176" s="110"/>
      <c r="CG176" s="113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66"/>
      <c r="DA176" s="70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56"/>
      <c r="DR176" s="57"/>
      <c r="DS176" s="58"/>
      <c r="DT176" s="58"/>
      <c r="DU176" s="58"/>
      <c r="DV176" s="58"/>
      <c r="DW176" s="58"/>
      <c r="DX176" s="58"/>
      <c r="DY176" s="58"/>
      <c r="DZ176" s="59"/>
      <c r="EA176" s="60"/>
      <c r="EB176" s="61"/>
      <c r="EC176" s="62"/>
      <c r="ED176" s="2"/>
      <c r="EE176" s="63"/>
      <c r="EF176" s="63"/>
      <c r="EG176" s="63"/>
      <c r="EH176" s="63"/>
      <c r="EI176" s="63"/>
      <c r="EJ176" s="63"/>
      <c r="EK176" s="63"/>
      <c r="EL176" s="63"/>
      <c r="EM176" s="63"/>
      <c r="EN176" s="63"/>
      <c r="EO176" s="63"/>
      <c r="EP176" s="63"/>
      <c r="EQ176" s="63"/>
      <c r="ER176" s="63"/>
      <c r="ES176" s="63"/>
      <c r="ET176" s="63"/>
      <c r="EU176" s="80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5"/>
      <c r="FH176" s="84"/>
      <c r="FI176" s="64"/>
      <c r="FJ176" s="8"/>
      <c r="FK176" s="48"/>
      <c r="FL176" s="48"/>
      <c r="FM176" s="48"/>
      <c r="FN176" s="48"/>
      <c r="FO176" s="48"/>
      <c r="FP176" s="48"/>
      <c r="FQ176" s="48"/>
      <c r="FR176" s="48"/>
      <c r="FS176" s="48"/>
      <c r="FT176" s="48"/>
      <c r="FU176" s="48"/>
      <c r="FV176" s="48"/>
      <c r="FW176" s="48"/>
      <c r="FX176" s="48"/>
      <c r="FY176" s="48"/>
      <c r="FZ176" s="48"/>
      <c r="GA176" s="48"/>
      <c r="GB176" s="48"/>
      <c r="GC176" s="48"/>
      <c r="GD176" s="48"/>
      <c r="GE176" s="48"/>
      <c r="GF176" s="48"/>
      <c r="GG176" s="48"/>
      <c r="GH176" s="48"/>
      <c r="GI176" s="48"/>
      <c r="GJ176" s="8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77"/>
      <c r="GY176" s="77"/>
      <c r="GZ176" s="77"/>
    </row>
    <row r="177" spans="1:208">
      <c r="A177" s="48"/>
      <c r="B177" s="49"/>
      <c r="C177" s="50"/>
      <c r="D177" s="51"/>
      <c r="E177" s="50"/>
      <c r="F177" s="52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90"/>
      <c r="V177" s="91"/>
      <c r="W177" s="92"/>
      <c r="X177" s="92"/>
      <c r="Y177" s="92"/>
      <c r="Z177" s="91"/>
      <c r="AA177" s="93"/>
      <c r="AB177" s="99"/>
      <c r="AC177" s="54"/>
      <c r="AD177" s="54"/>
      <c r="AE177" s="54"/>
      <c r="AF177" s="54"/>
      <c r="AG177" s="54"/>
      <c r="AH177" s="54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113"/>
      <c r="BB177" s="110"/>
      <c r="BC177" s="110"/>
      <c r="BD177" s="110"/>
      <c r="BE177" s="110"/>
      <c r="BF177" s="110"/>
      <c r="BG177" s="110"/>
      <c r="BH177" s="110"/>
      <c r="BI177" s="113"/>
      <c r="BJ177" s="110"/>
      <c r="BK177" s="110"/>
      <c r="BL177" s="110"/>
      <c r="BM177" s="110"/>
      <c r="BN177" s="113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3"/>
      <c r="BY177" s="110"/>
      <c r="BZ177" s="110"/>
      <c r="CA177" s="110"/>
      <c r="CB177" s="110"/>
      <c r="CC177" s="110"/>
      <c r="CD177" s="110"/>
      <c r="CE177" s="110"/>
      <c r="CF177" s="110"/>
      <c r="CG177" s="113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66"/>
      <c r="DA177" s="70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56"/>
      <c r="DR177" s="57"/>
      <c r="DS177" s="58"/>
      <c r="DT177" s="58"/>
      <c r="DU177" s="58"/>
      <c r="DV177" s="58"/>
      <c r="DW177" s="58"/>
      <c r="DX177" s="58"/>
      <c r="DY177" s="58"/>
      <c r="DZ177" s="59"/>
      <c r="EA177" s="60"/>
      <c r="EB177" s="61"/>
      <c r="EC177" s="62"/>
      <c r="ED177" s="2"/>
      <c r="EE177" s="63"/>
      <c r="EF177" s="63"/>
      <c r="EG177" s="63"/>
      <c r="EH177" s="63"/>
      <c r="EI177" s="63"/>
      <c r="EJ177" s="63"/>
      <c r="EK177" s="63"/>
      <c r="EL177" s="63"/>
      <c r="EM177" s="63"/>
      <c r="EN177" s="63"/>
      <c r="EO177" s="63"/>
      <c r="EP177" s="63"/>
      <c r="EQ177" s="63"/>
      <c r="ER177" s="63"/>
      <c r="ES177" s="63"/>
      <c r="ET177" s="63"/>
      <c r="EU177" s="80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5"/>
      <c r="FH177" s="84"/>
      <c r="FI177" s="64"/>
      <c r="FJ177" s="8"/>
      <c r="FK177" s="48"/>
      <c r="FL177" s="48"/>
      <c r="FM177" s="48"/>
      <c r="FN177" s="48"/>
      <c r="FO177" s="48"/>
      <c r="FP177" s="48"/>
      <c r="FQ177" s="48"/>
      <c r="FR177" s="48"/>
      <c r="FS177" s="48"/>
      <c r="FT177" s="48"/>
      <c r="FU177" s="48"/>
      <c r="FV177" s="48"/>
      <c r="FW177" s="48"/>
      <c r="FX177" s="48"/>
      <c r="FY177" s="48"/>
      <c r="FZ177" s="48"/>
      <c r="GA177" s="48"/>
      <c r="GB177" s="48"/>
      <c r="GC177" s="48"/>
      <c r="GD177" s="48"/>
      <c r="GE177" s="48"/>
      <c r="GF177" s="48"/>
      <c r="GG177" s="48"/>
      <c r="GH177" s="48"/>
      <c r="GI177" s="48"/>
      <c r="GJ177" s="8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77"/>
      <c r="GY177" s="77"/>
      <c r="GZ177" s="77"/>
    </row>
    <row r="178" spans="1:208">
      <c r="A178" s="48"/>
      <c r="B178" s="49"/>
      <c r="C178" s="50"/>
      <c r="D178" s="51"/>
      <c r="E178" s="50"/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90"/>
      <c r="V178" s="91"/>
      <c r="W178" s="92"/>
      <c r="X178" s="92"/>
      <c r="Y178" s="92"/>
      <c r="Z178" s="91"/>
      <c r="AA178" s="93"/>
      <c r="AB178" s="99"/>
      <c r="AC178" s="54"/>
      <c r="AD178" s="54"/>
      <c r="AE178" s="54"/>
      <c r="AF178" s="54"/>
      <c r="AG178" s="54"/>
      <c r="AH178" s="54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113"/>
      <c r="BB178" s="110"/>
      <c r="BC178" s="110"/>
      <c r="BD178" s="110"/>
      <c r="BE178" s="110"/>
      <c r="BF178" s="110"/>
      <c r="BG178" s="110"/>
      <c r="BH178" s="110"/>
      <c r="BI178" s="113"/>
      <c r="BJ178" s="110"/>
      <c r="BK178" s="110"/>
      <c r="BL178" s="110"/>
      <c r="BM178" s="110"/>
      <c r="BN178" s="113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3"/>
      <c r="BY178" s="110"/>
      <c r="BZ178" s="110"/>
      <c r="CA178" s="110"/>
      <c r="CB178" s="110"/>
      <c r="CC178" s="110"/>
      <c r="CD178" s="110"/>
      <c r="CE178" s="110"/>
      <c r="CF178" s="110"/>
      <c r="CG178" s="113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66"/>
      <c r="DA178" s="70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56"/>
      <c r="DR178" s="57"/>
      <c r="DS178" s="58"/>
      <c r="DT178" s="58"/>
      <c r="DU178" s="58"/>
      <c r="DV178" s="58"/>
      <c r="DW178" s="58"/>
      <c r="DX178" s="58"/>
      <c r="DY178" s="58"/>
      <c r="DZ178" s="59"/>
      <c r="EA178" s="60"/>
      <c r="EB178" s="61"/>
      <c r="EC178" s="62"/>
      <c r="ED178" s="2"/>
      <c r="EE178" s="63"/>
      <c r="EF178" s="63"/>
      <c r="EG178" s="63"/>
      <c r="EH178" s="63"/>
      <c r="EI178" s="63"/>
      <c r="EJ178" s="63"/>
      <c r="EK178" s="63"/>
      <c r="EL178" s="63"/>
      <c r="EM178" s="63"/>
      <c r="EN178" s="63"/>
      <c r="EO178" s="63"/>
      <c r="EP178" s="63"/>
      <c r="EQ178" s="63"/>
      <c r="ER178" s="63"/>
      <c r="ES178" s="63"/>
      <c r="ET178" s="63"/>
      <c r="EU178" s="80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5"/>
      <c r="FH178" s="84"/>
      <c r="FI178" s="64"/>
      <c r="FJ178" s="8"/>
      <c r="FK178" s="48"/>
      <c r="FL178" s="48"/>
      <c r="FM178" s="48"/>
      <c r="FN178" s="48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8"/>
      <c r="GG178" s="48"/>
      <c r="GH178" s="48"/>
      <c r="GI178" s="48"/>
      <c r="GJ178" s="8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77"/>
      <c r="GY178" s="77"/>
      <c r="GZ178" s="77"/>
    </row>
    <row r="179" spans="1:208">
      <c r="A179" s="48"/>
      <c r="B179" s="49"/>
      <c r="C179" s="50"/>
      <c r="D179" s="51"/>
      <c r="E179" s="50"/>
      <c r="F179" s="52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90"/>
      <c r="V179" s="91"/>
      <c r="W179" s="92"/>
      <c r="X179" s="92"/>
      <c r="Y179" s="92"/>
      <c r="Z179" s="91"/>
      <c r="AA179" s="93"/>
      <c r="AB179" s="99"/>
      <c r="AC179" s="54"/>
      <c r="AD179" s="54"/>
      <c r="AE179" s="54"/>
      <c r="AF179" s="54"/>
      <c r="AG179" s="54"/>
      <c r="AH179" s="54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113"/>
      <c r="BB179" s="110"/>
      <c r="BC179" s="110"/>
      <c r="BD179" s="110"/>
      <c r="BE179" s="110"/>
      <c r="BF179" s="110"/>
      <c r="BG179" s="110"/>
      <c r="BH179" s="110"/>
      <c r="BI179" s="113"/>
      <c r="BJ179" s="110"/>
      <c r="BK179" s="110"/>
      <c r="BL179" s="110"/>
      <c r="BM179" s="110"/>
      <c r="BN179" s="113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3"/>
      <c r="BY179" s="110"/>
      <c r="BZ179" s="110"/>
      <c r="CA179" s="110"/>
      <c r="CB179" s="110"/>
      <c r="CC179" s="110"/>
      <c r="CD179" s="110"/>
      <c r="CE179" s="110"/>
      <c r="CF179" s="110"/>
      <c r="CG179" s="113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66"/>
      <c r="DA179" s="70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56"/>
      <c r="DR179" s="57"/>
      <c r="DS179" s="58"/>
      <c r="DT179" s="58"/>
      <c r="DU179" s="58"/>
      <c r="DV179" s="58"/>
      <c r="DW179" s="58"/>
      <c r="DX179" s="58"/>
      <c r="DY179" s="58"/>
      <c r="DZ179" s="59"/>
      <c r="EA179" s="60"/>
      <c r="EB179" s="61"/>
      <c r="EC179" s="62"/>
      <c r="ED179" s="2"/>
      <c r="EE179" s="63"/>
      <c r="EF179" s="63"/>
      <c r="EG179" s="63"/>
      <c r="EH179" s="63"/>
      <c r="EI179" s="63"/>
      <c r="EJ179" s="63"/>
      <c r="EK179" s="63"/>
      <c r="EL179" s="63"/>
      <c r="EM179" s="63"/>
      <c r="EN179" s="63"/>
      <c r="EO179" s="63"/>
      <c r="EP179" s="63"/>
      <c r="EQ179" s="63"/>
      <c r="ER179" s="63"/>
      <c r="ES179" s="63"/>
      <c r="ET179" s="63"/>
      <c r="EU179" s="80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5"/>
      <c r="FH179" s="84"/>
      <c r="FI179" s="64"/>
      <c r="FJ179" s="8"/>
      <c r="FK179" s="48"/>
      <c r="FL179" s="48"/>
      <c r="FM179" s="48"/>
      <c r="FN179" s="48"/>
      <c r="FO179" s="48"/>
      <c r="FP179" s="48"/>
      <c r="FQ179" s="48"/>
      <c r="FR179" s="48"/>
      <c r="FS179" s="48"/>
      <c r="FT179" s="48"/>
      <c r="FU179" s="48"/>
      <c r="FV179" s="48"/>
      <c r="FW179" s="48"/>
      <c r="FX179" s="48"/>
      <c r="FY179" s="48"/>
      <c r="FZ179" s="48"/>
      <c r="GA179" s="48"/>
      <c r="GB179" s="48"/>
      <c r="GC179" s="48"/>
      <c r="GD179" s="48"/>
      <c r="GE179" s="48"/>
      <c r="GF179" s="48"/>
      <c r="GG179" s="48"/>
      <c r="GH179" s="48"/>
      <c r="GI179" s="48"/>
      <c r="GJ179" s="8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77"/>
      <c r="GY179" s="77"/>
      <c r="GZ179" s="77"/>
    </row>
    <row r="180" spans="1:208">
      <c r="A180" s="48"/>
      <c r="B180" s="49"/>
      <c r="C180" s="50"/>
      <c r="D180" s="51"/>
      <c r="E180" s="50"/>
      <c r="F180" s="52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90"/>
      <c r="V180" s="91"/>
      <c r="W180" s="92"/>
      <c r="X180" s="92"/>
      <c r="Y180" s="92"/>
      <c r="Z180" s="91"/>
      <c r="AA180" s="93"/>
      <c r="AB180" s="99"/>
      <c r="AC180" s="54"/>
      <c r="AD180" s="54"/>
      <c r="AE180" s="54"/>
      <c r="AF180" s="54"/>
      <c r="AG180" s="54"/>
      <c r="AH180" s="54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113"/>
      <c r="BB180" s="110"/>
      <c r="BC180" s="110"/>
      <c r="BD180" s="110"/>
      <c r="BE180" s="110"/>
      <c r="BF180" s="110"/>
      <c r="BG180" s="110"/>
      <c r="BH180" s="110"/>
      <c r="BI180" s="113"/>
      <c r="BJ180" s="110"/>
      <c r="BK180" s="110"/>
      <c r="BL180" s="110"/>
      <c r="BM180" s="110"/>
      <c r="BN180" s="113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3"/>
      <c r="BY180" s="110"/>
      <c r="BZ180" s="110"/>
      <c r="CA180" s="110"/>
      <c r="CB180" s="110"/>
      <c r="CC180" s="110"/>
      <c r="CD180" s="110"/>
      <c r="CE180" s="110"/>
      <c r="CF180" s="110"/>
      <c r="CG180" s="113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66"/>
      <c r="DA180" s="70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56"/>
      <c r="DR180" s="57"/>
      <c r="DS180" s="58"/>
      <c r="DT180" s="58"/>
      <c r="DU180" s="58"/>
      <c r="DV180" s="58"/>
      <c r="DW180" s="58"/>
      <c r="DX180" s="58"/>
      <c r="DY180" s="58"/>
      <c r="DZ180" s="59"/>
      <c r="EA180" s="60"/>
      <c r="EB180" s="61"/>
      <c r="EC180" s="62"/>
      <c r="ED180" s="2"/>
      <c r="EE180" s="63"/>
      <c r="EF180" s="63"/>
      <c r="EG180" s="63"/>
      <c r="EH180" s="63"/>
      <c r="EI180" s="63"/>
      <c r="EJ180" s="63"/>
      <c r="EK180" s="63"/>
      <c r="EL180" s="63"/>
      <c r="EM180" s="63"/>
      <c r="EN180" s="63"/>
      <c r="EO180" s="63"/>
      <c r="EP180" s="63"/>
      <c r="EQ180" s="63"/>
      <c r="ER180" s="63"/>
      <c r="ES180" s="63"/>
      <c r="ET180" s="63"/>
      <c r="EU180" s="80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5"/>
      <c r="FH180" s="84"/>
      <c r="FI180" s="64"/>
      <c r="FJ180" s="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8"/>
      <c r="GC180" s="48"/>
      <c r="GD180" s="48"/>
      <c r="GE180" s="48"/>
      <c r="GF180" s="48"/>
      <c r="GG180" s="48"/>
      <c r="GH180" s="48"/>
      <c r="GI180" s="48"/>
      <c r="GJ180" s="8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77"/>
      <c r="GY180" s="77"/>
      <c r="GZ180" s="77"/>
    </row>
    <row r="181" spans="1:208">
      <c r="A181" s="48"/>
      <c r="B181" s="49"/>
      <c r="C181" s="50"/>
      <c r="D181" s="51"/>
      <c r="E181" s="50"/>
      <c r="F181" s="52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90"/>
      <c r="V181" s="91"/>
      <c r="W181" s="92"/>
      <c r="X181" s="92"/>
      <c r="Y181" s="92"/>
      <c r="Z181" s="91"/>
      <c r="AA181" s="93"/>
      <c r="AB181" s="99"/>
      <c r="AC181" s="54"/>
      <c r="AD181" s="54"/>
      <c r="AE181" s="54"/>
      <c r="AF181" s="54"/>
      <c r="AG181" s="54"/>
      <c r="AH181" s="54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113"/>
      <c r="BB181" s="110"/>
      <c r="BC181" s="110"/>
      <c r="BD181" s="110"/>
      <c r="BE181" s="110"/>
      <c r="BF181" s="110"/>
      <c r="BG181" s="110"/>
      <c r="BH181" s="110"/>
      <c r="BI181" s="113"/>
      <c r="BJ181" s="110"/>
      <c r="BK181" s="110"/>
      <c r="BL181" s="110"/>
      <c r="BM181" s="110"/>
      <c r="BN181" s="113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3"/>
      <c r="BY181" s="110"/>
      <c r="BZ181" s="110"/>
      <c r="CA181" s="110"/>
      <c r="CB181" s="110"/>
      <c r="CC181" s="110"/>
      <c r="CD181" s="110"/>
      <c r="CE181" s="110"/>
      <c r="CF181" s="110"/>
      <c r="CG181" s="113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66"/>
      <c r="DA181" s="70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56"/>
      <c r="DR181" s="57"/>
      <c r="DS181" s="58"/>
      <c r="DT181" s="58"/>
      <c r="DU181" s="58"/>
      <c r="DV181" s="58"/>
      <c r="DW181" s="58"/>
      <c r="DX181" s="58"/>
      <c r="DY181" s="58"/>
      <c r="DZ181" s="59"/>
      <c r="EA181" s="60"/>
      <c r="EB181" s="61"/>
      <c r="EC181" s="62"/>
      <c r="ED181" s="2"/>
      <c r="EE181" s="63"/>
      <c r="EF181" s="63"/>
      <c r="EG181" s="63"/>
      <c r="EH181" s="63"/>
      <c r="EI181" s="63"/>
      <c r="EJ181" s="63"/>
      <c r="EK181" s="63"/>
      <c r="EL181" s="63"/>
      <c r="EM181" s="63"/>
      <c r="EN181" s="63"/>
      <c r="EO181" s="63"/>
      <c r="EP181" s="63"/>
      <c r="EQ181" s="63"/>
      <c r="ER181" s="63"/>
      <c r="ES181" s="63"/>
      <c r="ET181" s="63"/>
      <c r="EU181" s="80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5"/>
      <c r="FH181" s="84"/>
      <c r="FI181" s="64"/>
      <c r="FJ181" s="8"/>
      <c r="FK181" s="48"/>
      <c r="FL181" s="48"/>
      <c r="FM181" s="48"/>
      <c r="FN181" s="48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8"/>
      <c r="GG181" s="48"/>
      <c r="GH181" s="48"/>
      <c r="GI181" s="48"/>
      <c r="GJ181" s="8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77"/>
      <c r="GY181" s="77"/>
      <c r="GZ181" s="77"/>
    </row>
    <row r="182" spans="1:208">
      <c r="A182" s="48"/>
      <c r="B182" s="49"/>
      <c r="C182" s="50"/>
      <c r="D182" s="51"/>
      <c r="E182" s="50"/>
      <c r="F182" s="52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90"/>
      <c r="V182" s="91"/>
      <c r="W182" s="92"/>
      <c r="X182" s="92"/>
      <c r="Y182" s="92"/>
      <c r="Z182" s="91"/>
      <c r="AA182" s="93"/>
      <c r="AB182" s="99"/>
      <c r="AC182" s="54"/>
      <c r="AD182" s="54"/>
      <c r="AE182" s="54"/>
      <c r="AF182" s="54"/>
      <c r="AG182" s="54"/>
      <c r="AH182" s="54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113"/>
      <c r="BB182" s="110"/>
      <c r="BC182" s="110"/>
      <c r="BD182" s="110"/>
      <c r="BE182" s="110"/>
      <c r="BF182" s="110"/>
      <c r="BG182" s="110"/>
      <c r="BH182" s="110"/>
      <c r="BI182" s="113"/>
      <c r="BJ182" s="110"/>
      <c r="BK182" s="110"/>
      <c r="BL182" s="110"/>
      <c r="BM182" s="110"/>
      <c r="BN182" s="113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3"/>
      <c r="BY182" s="110"/>
      <c r="BZ182" s="110"/>
      <c r="CA182" s="110"/>
      <c r="CB182" s="110"/>
      <c r="CC182" s="110"/>
      <c r="CD182" s="110"/>
      <c r="CE182" s="110"/>
      <c r="CF182" s="110"/>
      <c r="CG182" s="113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66"/>
      <c r="DA182" s="70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56"/>
      <c r="DR182" s="57"/>
      <c r="DS182" s="58"/>
      <c r="DT182" s="58"/>
      <c r="DU182" s="58"/>
      <c r="DV182" s="58"/>
      <c r="DW182" s="58"/>
      <c r="DX182" s="58"/>
      <c r="DY182" s="58"/>
      <c r="DZ182" s="59"/>
      <c r="EA182" s="60"/>
      <c r="EB182" s="61"/>
      <c r="EC182" s="62"/>
      <c r="ED182" s="2"/>
      <c r="EE182" s="63"/>
      <c r="EF182" s="63"/>
      <c r="EG182" s="63"/>
      <c r="EH182" s="63"/>
      <c r="EI182" s="63"/>
      <c r="EJ182" s="63"/>
      <c r="EK182" s="63"/>
      <c r="EL182" s="63"/>
      <c r="EM182" s="63"/>
      <c r="EN182" s="63"/>
      <c r="EO182" s="63"/>
      <c r="EP182" s="63"/>
      <c r="EQ182" s="63"/>
      <c r="ER182" s="63"/>
      <c r="ES182" s="63"/>
      <c r="ET182" s="63"/>
      <c r="EU182" s="80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5"/>
      <c r="FH182" s="84"/>
      <c r="FI182" s="64"/>
      <c r="FJ182" s="8"/>
      <c r="FK182" s="48"/>
      <c r="FL182" s="48"/>
      <c r="FM182" s="48"/>
      <c r="FN182" s="48"/>
      <c r="FO182" s="48"/>
      <c r="FP182" s="48"/>
      <c r="FQ182" s="48"/>
      <c r="FR182" s="48"/>
      <c r="FS182" s="48"/>
      <c r="FT182" s="48"/>
      <c r="FU182" s="48"/>
      <c r="FV182" s="48"/>
      <c r="FW182" s="48"/>
      <c r="FX182" s="48"/>
      <c r="FY182" s="48"/>
      <c r="FZ182" s="48"/>
      <c r="GA182" s="48"/>
      <c r="GB182" s="48"/>
      <c r="GC182" s="48"/>
      <c r="GD182" s="48"/>
      <c r="GE182" s="48"/>
      <c r="GF182" s="48"/>
      <c r="GG182" s="48"/>
      <c r="GH182" s="48"/>
      <c r="GI182" s="48"/>
      <c r="GJ182" s="8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77"/>
      <c r="GY182" s="77"/>
      <c r="GZ182" s="77"/>
    </row>
    <row r="183" spans="1:208">
      <c r="A183" s="48"/>
      <c r="B183" s="49"/>
      <c r="C183" s="50"/>
      <c r="D183" s="51"/>
      <c r="E183" s="50"/>
      <c r="F183" s="52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90"/>
      <c r="V183" s="91"/>
      <c r="W183" s="92"/>
      <c r="X183" s="92"/>
      <c r="Y183" s="92"/>
      <c r="Z183" s="91"/>
      <c r="AA183" s="93"/>
      <c r="AB183" s="99"/>
      <c r="AC183" s="54"/>
      <c r="AD183" s="54"/>
      <c r="AE183" s="54"/>
      <c r="AF183" s="54"/>
      <c r="AG183" s="54"/>
      <c r="AH183" s="54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113"/>
      <c r="BB183" s="110"/>
      <c r="BC183" s="110"/>
      <c r="BD183" s="110"/>
      <c r="BE183" s="110"/>
      <c r="BF183" s="110"/>
      <c r="BG183" s="110"/>
      <c r="BH183" s="110"/>
      <c r="BI183" s="113"/>
      <c r="BJ183" s="110"/>
      <c r="BK183" s="110"/>
      <c r="BL183" s="110"/>
      <c r="BM183" s="110"/>
      <c r="BN183" s="113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3"/>
      <c r="BY183" s="110"/>
      <c r="BZ183" s="110"/>
      <c r="CA183" s="110"/>
      <c r="CB183" s="110"/>
      <c r="CC183" s="110"/>
      <c r="CD183" s="110"/>
      <c r="CE183" s="110"/>
      <c r="CF183" s="110"/>
      <c r="CG183" s="113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66"/>
      <c r="DA183" s="70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56"/>
      <c r="DR183" s="57"/>
      <c r="DS183" s="58"/>
      <c r="DT183" s="58"/>
      <c r="DU183" s="58"/>
      <c r="DV183" s="58"/>
      <c r="DW183" s="58"/>
      <c r="DX183" s="58"/>
      <c r="DY183" s="58"/>
      <c r="DZ183" s="59"/>
      <c r="EA183" s="60"/>
      <c r="EB183" s="61"/>
      <c r="EC183" s="62"/>
      <c r="ED183" s="2"/>
      <c r="EE183" s="63"/>
      <c r="EF183" s="63"/>
      <c r="EG183" s="63"/>
      <c r="EH183" s="63"/>
      <c r="EI183" s="63"/>
      <c r="EJ183" s="63"/>
      <c r="EK183" s="63"/>
      <c r="EL183" s="63"/>
      <c r="EM183" s="63"/>
      <c r="EN183" s="63"/>
      <c r="EO183" s="63"/>
      <c r="EP183" s="63"/>
      <c r="EQ183" s="63"/>
      <c r="ER183" s="63"/>
      <c r="ES183" s="63"/>
      <c r="ET183" s="63"/>
      <c r="EU183" s="80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5"/>
      <c r="FH183" s="84"/>
      <c r="FI183" s="64"/>
      <c r="FJ183" s="8"/>
      <c r="FK183" s="48"/>
      <c r="FL183" s="48"/>
      <c r="FM183" s="48"/>
      <c r="FN183" s="48"/>
      <c r="FO183" s="48"/>
      <c r="FP183" s="48"/>
      <c r="FQ183" s="48"/>
      <c r="FR183" s="48"/>
      <c r="FS183" s="48"/>
      <c r="FT183" s="48"/>
      <c r="FU183" s="48"/>
      <c r="FV183" s="48"/>
      <c r="FW183" s="48"/>
      <c r="FX183" s="48"/>
      <c r="FY183" s="48"/>
      <c r="FZ183" s="48"/>
      <c r="GA183" s="48"/>
      <c r="GB183" s="48"/>
      <c r="GC183" s="48"/>
      <c r="GD183" s="48"/>
      <c r="GE183" s="48"/>
      <c r="GF183" s="48"/>
      <c r="GG183" s="48"/>
      <c r="GH183" s="48"/>
      <c r="GI183" s="48"/>
      <c r="GJ183" s="8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77"/>
      <c r="GY183" s="77"/>
      <c r="GZ183" s="77"/>
    </row>
    <row r="184" spans="1:208">
      <c r="A184" s="48"/>
      <c r="B184" s="49"/>
      <c r="C184" s="50"/>
      <c r="D184" s="51"/>
      <c r="E184" s="50"/>
      <c r="F184" s="52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90"/>
      <c r="V184" s="91"/>
      <c r="W184" s="92"/>
      <c r="X184" s="92"/>
      <c r="Y184" s="92"/>
      <c r="Z184" s="91"/>
      <c r="AA184" s="93"/>
      <c r="AB184" s="99"/>
      <c r="AC184" s="54"/>
      <c r="AD184" s="54"/>
      <c r="AE184" s="54"/>
      <c r="AF184" s="54"/>
      <c r="AG184" s="54"/>
      <c r="AH184" s="54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113"/>
      <c r="BB184" s="110"/>
      <c r="BC184" s="110"/>
      <c r="BD184" s="110"/>
      <c r="BE184" s="110"/>
      <c r="BF184" s="110"/>
      <c r="BG184" s="110"/>
      <c r="BH184" s="110"/>
      <c r="BI184" s="113"/>
      <c r="BJ184" s="110"/>
      <c r="BK184" s="110"/>
      <c r="BL184" s="110"/>
      <c r="BM184" s="110"/>
      <c r="BN184" s="113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3"/>
      <c r="BY184" s="110"/>
      <c r="BZ184" s="110"/>
      <c r="CA184" s="110"/>
      <c r="CB184" s="110"/>
      <c r="CC184" s="110"/>
      <c r="CD184" s="110"/>
      <c r="CE184" s="110"/>
      <c r="CF184" s="110"/>
      <c r="CG184" s="113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66"/>
      <c r="DA184" s="70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56"/>
      <c r="DR184" s="57"/>
      <c r="DS184" s="58"/>
      <c r="DT184" s="58"/>
      <c r="DU184" s="58"/>
      <c r="DV184" s="58"/>
      <c r="DW184" s="58"/>
      <c r="DX184" s="58"/>
      <c r="DY184" s="58"/>
      <c r="DZ184" s="59"/>
      <c r="EA184" s="60"/>
      <c r="EB184" s="61"/>
      <c r="EC184" s="62"/>
      <c r="ED184" s="2"/>
      <c r="EE184" s="63"/>
      <c r="EF184" s="63"/>
      <c r="EG184" s="63"/>
      <c r="EH184" s="63"/>
      <c r="EI184" s="63"/>
      <c r="EJ184" s="63"/>
      <c r="EK184" s="63"/>
      <c r="EL184" s="63"/>
      <c r="EM184" s="63"/>
      <c r="EN184" s="63"/>
      <c r="EO184" s="63"/>
      <c r="EP184" s="63"/>
      <c r="EQ184" s="63"/>
      <c r="ER184" s="63"/>
      <c r="ES184" s="63"/>
      <c r="ET184" s="63"/>
      <c r="EU184" s="80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5"/>
      <c r="FH184" s="84"/>
      <c r="FI184" s="64"/>
      <c r="FJ184" s="8"/>
      <c r="FK184" s="48"/>
      <c r="FL184" s="48"/>
      <c r="FM184" s="48"/>
      <c r="FN184" s="48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8"/>
      <c r="GG184" s="48"/>
      <c r="GH184" s="48"/>
      <c r="GI184" s="48"/>
      <c r="GJ184" s="8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77"/>
      <c r="GY184" s="77"/>
      <c r="GZ184" s="77"/>
    </row>
    <row r="185" spans="1:208">
      <c r="A185" s="48"/>
      <c r="B185" s="49"/>
      <c r="C185" s="50"/>
      <c r="D185" s="51"/>
      <c r="E185" s="50"/>
      <c r="F185" s="52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90"/>
      <c r="V185" s="91"/>
      <c r="W185" s="92"/>
      <c r="X185" s="92"/>
      <c r="Y185" s="92"/>
      <c r="Z185" s="91"/>
      <c r="AA185" s="93"/>
      <c r="AB185" s="99"/>
      <c r="AC185" s="54"/>
      <c r="AD185" s="54"/>
      <c r="AE185" s="54"/>
      <c r="AF185" s="54"/>
      <c r="AG185" s="54"/>
      <c r="AH185" s="54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113"/>
      <c r="BB185" s="110"/>
      <c r="BC185" s="110"/>
      <c r="BD185" s="110"/>
      <c r="BE185" s="110"/>
      <c r="BF185" s="110"/>
      <c r="BG185" s="110"/>
      <c r="BH185" s="110"/>
      <c r="BI185" s="113"/>
      <c r="BJ185" s="110"/>
      <c r="BK185" s="110"/>
      <c r="BL185" s="110"/>
      <c r="BM185" s="110"/>
      <c r="BN185" s="113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3"/>
      <c r="BY185" s="110"/>
      <c r="BZ185" s="110"/>
      <c r="CA185" s="110"/>
      <c r="CB185" s="110"/>
      <c r="CC185" s="110"/>
      <c r="CD185" s="110"/>
      <c r="CE185" s="110"/>
      <c r="CF185" s="110"/>
      <c r="CG185" s="113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66"/>
      <c r="DA185" s="70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56"/>
      <c r="DR185" s="57"/>
      <c r="DS185" s="58"/>
      <c r="DT185" s="58"/>
      <c r="DU185" s="58"/>
      <c r="DV185" s="58"/>
      <c r="DW185" s="58"/>
      <c r="DX185" s="58"/>
      <c r="DY185" s="58"/>
      <c r="DZ185" s="59"/>
      <c r="EA185" s="60"/>
      <c r="EB185" s="61"/>
      <c r="EC185" s="62"/>
      <c r="ED185" s="2"/>
      <c r="EE185" s="63"/>
      <c r="EF185" s="63"/>
      <c r="EG185" s="63"/>
      <c r="EH185" s="63"/>
      <c r="EI185" s="63"/>
      <c r="EJ185" s="63"/>
      <c r="EK185" s="63"/>
      <c r="EL185" s="63"/>
      <c r="EM185" s="63"/>
      <c r="EN185" s="63"/>
      <c r="EO185" s="63"/>
      <c r="EP185" s="63"/>
      <c r="EQ185" s="63"/>
      <c r="ER185" s="63"/>
      <c r="ES185" s="63"/>
      <c r="ET185" s="63"/>
      <c r="EU185" s="80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5"/>
      <c r="FH185" s="84"/>
      <c r="FI185" s="64"/>
      <c r="FJ185" s="8"/>
      <c r="FK185" s="48"/>
      <c r="FL185" s="48"/>
      <c r="FM185" s="48"/>
      <c r="FN185" s="48"/>
      <c r="FO185" s="48"/>
      <c r="FP185" s="48"/>
      <c r="FQ185" s="48"/>
      <c r="FR185" s="48"/>
      <c r="FS185" s="48"/>
      <c r="FT185" s="48"/>
      <c r="FU185" s="48"/>
      <c r="FV185" s="48"/>
      <c r="FW185" s="48"/>
      <c r="FX185" s="48"/>
      <c r="FY185" s="48"/>
      <c r="FZ185" s="48"/>
      <c r="GA185" s="48"/>
      <c r="GB185" s="48"/>
      <c r="GC185" s="48"/>
      <c r="GD185" s="48"/>
      <c r="GE185" s="48"/>
      <c r="GF185" s="48"/>
      <c r="GG185" s="48"/>
      <c r="GH185" s="48"/>
      <c r="GI185" s="48"/>
      <c r="GJ185" s="8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77"/>
      <c r="GY185" s="77"/>
      <c r="GZ185" s="77"/>
    </row>
    <row r="186" spans="1:208">
      <c r="A186" s="48"/>
      <c r="B186" s="49"/>
      <c r="C186" s="50"/>
      <c r="D186" s="51"/>
      <c r="E186" s="50"/>
      <c r="F186" s="52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90"/>
      <c r="V186" s="91"/>
      <c r="W186" s="92"/>
      <c r="X186" s="92"/>
      <c r="Y186" s="92"/>
      <c r="Z186" s="91"/>
      <c r="AA186" s="93"/>
      <c r="AB186" s="99"/>
      <c r="AC186" s="54"/>
      <c r="AD186" s="54"/>
      <c r="AE186" s="54"/>
      <c r="AF186" s="54"/>
      <c r="AG186" s="54"/>
      <c r="AH186" s="54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113"/>
      <c r="BB186" s="110"/>
      <c r="BC186" s="110"/>
      <c r="BD186" s="110"/>
      <c r="BE186" s="110"/>
      <c r="BF186" s="110"/>
      <c r="BG186" s="110"/>
      <c r="BH186" s="110"/>
      <c r="BI186" s="113"/>
      <c r="BJ186" s="110"/>
      <c r="BK186" s="110"/>
      <c r="BL186" s="110"/>
      <c r="BM186" s="110"/>
      <c r="BN186" s="113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3"/>
      <c r="BY186" s="110"/>
      <c r="BZ186" s="110"/>
      <c r="CA186" s="110"/>
      <c r="CB186" s="110"/>
      <c r="CC186" s="110"/>
      <c r="CD186" s="110"/>
      <c r="CE186" s="110"/>
      <c r="CF186" s="110"/>
      <c r="CG186" s="113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66"/>
      <c r="DA186" s="70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56"/>
      <c r="DR186" s="57"/>
      <c r="DS186" s="58"/>
      <c r="DT186" s="58"/>
      <c r="DU186" s="58"/>
      <c r="DV186" s="58"/>
      <c r="DW186" s="58"/>
      <c r="DX186" s="58"/>
      <c r="DY186" s="58"/>
      <c r="DZ186" s="59"/>
      <c r="EA186" s="60"/>
      <c r="EB186" s="61"/>
      <c r="EC186" s="62"/>
      <c r="ED186" s="2"/>
      <c r="EE186" s="63"/>
      <c r="EF186" s="63"/>
      <c r="EG186" s="63"/>
      <c r="EH186" s="63"/>
      <c r="EI186" s="63"/>
      <c r="EJ186" s="63"/>
      <c r="EK186" s="63"/>
      <c r="EL186" s="63"/>
      <c r="EM186" s="63"/>
      <c r="EN186" s="63"/>
      <c r="EO186" s="63"/>
      <c r="EP186" s="63"/>
      <c r="EQ186" s="63"/>
      <c r="ER186" s="63"/>
      <c r="ES186" s="63"/>
      <c r="ET186" s="63"/>
      <c r="EU186" s="80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5"/>
      <c r="FH186" s="84"/>
      <c r="FI186" s="64"/>
      <c r="FJ186" s="8"/>
      <c r="FK186" s="48"/>
      <c r="FL186" s="48"/>
      <c r="FM186" s="48"/>
      <c r="FN186" s="48"/>
      <c r="FO186" s="48"/>
      <c r="FP186" s="48"/>
      <c r="FQ186" s="48"/>
      <c r="FR186" s="48"/>
      <c r="FS186" s="48"/>
      <c r="FT186" s="48"/>
      <c r="FU186" s="48"/>
      <c r="FV186" s="48"/>
      <c r="FW186" s="48"/>
      <c r="FX186" s="48"/>
      <c r="FY186" s="48"/>
      <c r="FZ186" s="48"/>
      <c r="GA186" s="48"/>
      <c r="GB186" s="48"/>
      <c r="GC186" s="48"/>
      <c r="GD186" s="48"/>
      <c r="GE186" s="48"/>
      <c r="GF186" s="48"/>
      <c r="GG186" s="48"/>
      <c r="GH186" s="48"/>
      <c r="GI186" s="48"/>
      <c r="GJ186" s="8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77"/>
      <c r="GY186" s="77"/>
      <c r="GZ186" s="77"/>
    </row>
    <row r="187" spans="1:208">
      <c r="A187" s="48"/>
      <c r="B187" s="49"/>
      <c r="C187" s="50"/>
      <c r="D187" s="51"/>
      <c r="E187" s="50"/>
      <c r="F187" s="52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90"/>
      <c r="V187" s="91"/>
      <c r="W187" s="92"/>
      <c r="X187" s="92"/>
      <c r="Y187" s="92"/>
      <c r="Z187" s="91"/>
      <c r="AA187" s="93"/>
      <c r="AB187" s="99"/>
      <c r="AC187" s="54"/>
      <c r="AD187" s="54"/>
      <c r="AE187" s="54"/>
      <c r="AF187" s="54"/>
      <c r="AG187" s="54"/>
      <c r="AH187" s="54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113"/>
      <c r="BB187" s="110"/>
      <c r="BC187" s="110"/>
      <c r="BD187" s="110"/>
      <c r="BE187" s="110"/>
      <c r="BF187" s="110"/>
      <c r="BG187" s="110"/>
      <c r="BH187" s="110"/>
      <c r="BI187" s="113"/>
      <c r="BJ187" s="110"/>
      <c r="BK187" s="110"/>
      <c r="BL187" s="110"/>
      <c r="BM187" s="110"/>
      <c r="BN187" s="113"/>
      <c r="BO187" s="110"/>
      <c r="BP187" s="110"/>
      <c r="BQ187" s="110"/>
      <c r="BR187" s="110"/>
      <c r="BS187" s="110"/>
      <c r="BT187" s="110"/>
      <c r="BU187" s="110"/>
      <c r="BV187" s="110"/>
      <c r="BW187" s="110"/>
      <c r="BX187" s="113"/>
      <c r="BY187" s="110"/>
      <c r="BZ187" s="110"/>
      <c r="CA187" s="110"/>
      <c r="CB187" s="110"/>
      <c r="CC187" s="110"/>
      <c r="CD187" s="110"/>
      <c r="CE187" s="110"/>
      <c r="CF187" s="110"/>
      <c r="CG187" s="113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66"/>
      <c r="DA187" s="70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56"/>
      <c r="DR187" s="57"/>
      <c r="DS187" s="58"/>
      <c r="DT187" s="58"/>
      <c r="DU187" s="58"/>
      <c r="DV187" s="58"/>
      <c r="DW187" s="58"/>
      <c r="DX187" s="58"/>
      <c r="DY187" s="58"/>
      <c r="DZ187" s="59"/>
      <c r="EA187" s="60"/>
      <c r="EB187" s="61"/>
      <c r="EC187" s="62"/>
      <c r="ED187" s="2"/>
      <c r="EE187" s="63"/>
      <c r="EF187" s="63"/>
      <c r="EG187" s="63"/>
      <c r="EH187" s="63"/>
      <c r="EI187" s="63"/>
      <c r="EJ187" s="63"/>
      <c r="EK187" s="63"/>
      <c r="EL187" s="63"/>
      <c r="EM187" s="63"/>
      <c r="EN187" s="63"/>
      <c r="EO187" s="63"/>
      <c r="EP187" s="63"/>
      <c r="EQ187" s="63"/>
      <c r="ER187" s="63"/>
      <c r="ES187" s="63"/>
      <c r="ET187" s="63"/>
      <c r="EU187" s="80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5"/>
      <c r="FH187" s="84"/>
      <c r="FI187" s="64"/>
      <c r="FJ187" s="8"/>
      <c r="FK187" s="48"/>
      <c r="FL187" s="48"/>
      <c r="FM187" s="48"/>
      <c r="FN187" s="48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8"/>
      <c r="GG187" s="48"/>
      <c r="GH187" s="48"/>
      <c r="GI187" s="48"/>
      <c r="GJ187" s="8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77"/>
      <c r="GY187" s="77"/>
      <c r="GZ187" s="77"/>
    </row>
    <row r="188" spans="1:208">
      <c r="A188" s="48"/>
      <c r="B188" s="49"/>
      <c r="C188" s="50"/>
      <c r="D188" s="51"/>
      <c r="E188" s="50"/>
      <c r="F188" s="52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90"/>
      <c r="V188" s="91"/>
      <c r="W188" s="92"/>
      <c r="X188" s="92"/>
      <c r="Y188" s="92"/>
      <c r="Z188" s="91"/>
      <c r="AA188" s="93"/>
      <c r="AB188" s="99"/>
      <c r="AC188" s="54"/>
      <c r="AD188" s="54"/>
      <c r="AE188" s="54"/>
      <c r="AF188" s="54"/>
      <c r="AG188" s="54"/>
      <c r="AH188" s="54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113"/>
      <c r="BB188" s="110"/>
      <c r="BC188" s="110"/>
      <c r="BD188" s="110"/>
      <c r="BE188" s="110"/>
      <c r="BF188" s="110"/>
      <c r="BG188" s="110"/>
      <c r="BH188" s="110"/>
      <c r="BI188" s="113"/>
      <c r="BJ188" s="110"/>
      <c r="BK188" s="110"/>
      <c r="BL188" s="110"/>
      <c r="BM188" s="110"/>
      <c r="BN188" s="113"/>
      <c r="BO188" s="110"/>
      <c r="BP188" s="110"/>
      <c r="BQ188" s="110"/>
      <c r="BR188" s="110"/>
      <c r="BS188" s="110"/>
      <c r="BT188" s="110"/>
      <c r="BU188" s="110"/>
      <c r="BV188" s="110"/>
      <c r="BW188" s="110"/>
      <c r="BX188" s="113"/>
      <c r="BY188" s="110"/>
      <c r="BZ188" s="110"/>
      <c r="CA188" s="110"/>
      <c r="CB188" s="110"/>
      <c r="CC188" s="110"/>
      <c r="CD188" s="110"/>
      <c r="CE188" s="110"/>
      <c r="CF188" s="110"/>
      <c r="CG188" s="113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66"/>
      <c r="DA188" s="70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56"/>
      <c r="DR188" s="57"/>
      <c r="DS188" s="58"/>
      <c r="DT188" s="58"/>
      <c r="DU188" s="58"/>
      <c r="DV188" s="58"/>
      <c r="DW188" s="58"/>
      <c r="DX188" s="58"/>
      <c r="DY188" s="58"/>
      <c r="DZ188" s="59"/>
      <c r="EA188" s="60"/>
      <c r="EB188" s="61"/>
      <c r="EC188" s="62"/>
      <c r="ED188" s="2"/>
      <c r="EE188" s="63"/>
      <c r="EF188" s="63"/>
      <c r="EG188" s="63"/>
      <c r="EH188" s="63"/>
      <c r="EI188" s="63"/>
      <c r="EJ188" s="63"/>
      <c r="EK188" s="63"/>
      <c r="EL188" s="63"/>
      <c r="EM188" s="63"/>
      <c r="EN188" s="63"/>
      <c r="EO188" s="63"/>
      <c r="EP188" s="63"/>
      <c r="EQ188" s="63"/>
      <c r="ER188" s="63"/>
      <c r="ES188" s="63"/>
      <c r="ET188" s="63"/>
      <c r="EU188" s="80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5"/>
      <c r="FH188" s="84"/>
      <c r="FI188" s="64"/>
      <c r="FJ188" s="8"/>
      <c r="FK188" s="48"/>
      <c r="FL188" s="48"/>
      <c r="FM188" s="48"/>
      <c r="FN188" s="48"/>
      <c r="FO188" s="48"/>
      <c r="FP188" s="48"/>
      <c r="FQ188" s="48"/>
      <c r="FR188" s="48"/>
      <c r="FS188" s="48"/>
      <c r="FT188" s="48"/>
      <c r="FU188" s="48"/>
      <c r="FV188" s="48"/>
      <c r="FW188" s="48"/>
      <c r="FX188" s="48"/>
      <c r="FY188" s="48"/>
      <c r="FZ188" s="48"/>
      <c r="GA188" s="48"/>
      <c r="GB188" s="48"/>
      <c r="GC188" s="48"/>
      <c r="GD188" s="48"/>
      <c r="GE188" s="48"/>
      <c r="GF188" s="48"/>
      <c r="GG188" s="48"/>
      <c r="GH188" s="48"/>
      <c r="GI188" s="48"/>
      <c r="GJ188" s="8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77"/>
      <c r="GY188" s="77"/>
      <c r="GZ188" s="77"/>
    </row>
    <row r="189" spans="1:208">
      <c r="A189" s="48"/>
      <c r="B189" s="49"/>
      <c r="C189" s="50"/>
      <c r="D189" s="51"/>
      <c r="E189" s="50"/>
      <c r="F189" s="52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90"/>
      <c r="V189" s="91"/>
      <c r="W189" s="92"/>
      <c r="X189" s="92"/>
      <c r="Y189" s="92"/>
      <c r="Z189" s="91"/>
      <c r="AA189" s="93"/>
      <c r="AB189" s="99"/>
      <c r="AC189" s="54"/>
      <c r="AD189" s="54"/>
      <c r="AE189" s="54"/>
      <c r="AF189" s="54"/>
      <c r="AG189" s="54"/>
      <c r="AH189" s="54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113"/>
      <c r="BB189" s="110"/>
      <c r="BC189" s="110"/>
      <c r="BD189" s="110"/>
      <c r="BE189" s="110"/>
      <c r="BF189" s="110"/>
      <c r="BG189" s="110"/>
      <c r="BH189" s="110"/>
      <c r="BI189" s="113"/>
      <c r="BJ189" s="110"/>
      <c r="BK189" s="110"/>
      <c r="BL189" s="110"/>
      <c r="BM189" s="110"/>
      <c r="BN189" s="113"/>
      <c r="BO189" s="110"/>
      <c r="BP189" s="110"/>
      <c r="BQ189" s="110"/>
      <c r="BR189" s="110"/>
      <c r="BS189" s="110"/>
      <c r="BT189" s="110"/>
      <c r="BU189" s="110"/>
      <c r="BV189" s="110"/>
      <c r="BW189" s="110"/>
      <c r="BX189" s="113"/>
      <c r="BY189" s="110"/>
      <c r="BZ189" s="110"/>
      <c r="CA189" s="110"/>
      <c r="CB189" s="110"/>
      <c r="CC189" s="110"/>
      <c r="CD189" s="110"/>
      <c r="CE189" s="110"/>
      <c r="CF189" s="110"/>
      <c r="CG189" s="113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66"/>
      <c r="DA189" s="70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56"/>
      <c r="DR189" s="57"/>
      <c r="DS189" s="58"/>
      <c r="DT189" s="58"/>
      <c r="DU189" s="58"/>
      <c r="DV189" s="58"/>
      <c r="DW189" s="58"/>
      <c r="DX189" s="58"/>
      <c r="DY189" s="58"/>
      <c r="DZ189" s="59"/>
      <c r="EA189" s="60"/>
      <c r="EB189" s="61"/>
      <c r="EC189" s="62"/>
      <c r="ED189" s="2"/>
      <c r="EE189" s="63"/>
      <c r="EF189" s="63"/>
      <c r="EG189" s="63"/>
      <c r="EH189" s="63"/>
      <c r="EI189" s="63"/>
      <c r="EJ189" s="63"/>
      <c r="EK189" s="63"/>
      <c r="EL189" s="63"/>
      <c r="EM189" s="63"/>
      <c r="EN189" s="63"/>
      <c r="EO189" s="63"/>
      <c r="EP189" s="63"/>
      <c r="EQ189" s="63"/>
      <c r="ER189" s="63"/>
      <c r="ES189" s="63"/>
      <c r="ET189" s="63"/>
      <c r="EU189" s="80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5"/>
      <c r="FH189" s="84"/>
      <c r="FI189" s="64"/>
      <c r="FJ189" s="8"/>
      <c r="FK189" s="48"/>
      <c r="FL189" s="48"/>
      <c r="FM189" s="48"/>
      <c r="FN189" s="48"/>
      <c r="FO189" s="48"/>
      <c r="FP189" s="48"/>
      <c r="FQ189" s="48"/>
      <c r="FR189" s="48"/>
      <c r="FS189" s="48"/>
      <c r="FT189" s="48"/>
      <c r="FU189" s="48"/>
      <c r="FV189" s="48"/>
      <c r="FW189" s="48"/>
      <c r="FX189" s="48"/>
      <c r="FY189" s="48"/>
      <c r="FZ189" s="48"/>
      <c r="GA189" s="48"/>
      <c r="GB189" s="48"/>
      <c r="GC189" s="48"/>
      <c r="GD189" s="48"/>
      <c r="GE189" s="48"/>
      <c r="GF189" s="48"/>
      <c r="GG189" s="48"/>
      <c r="GH189" s="48"/>
      <c r="GI189" s="48"/>
      <c r="GJ189" s="8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77"/>
      <c r="GY189" s="77"/>
      <c r="GZ189" s="77"/>
    </row>
    <row r="190" spans="1:208">
      <c r="A190" s="48"/>
      <c r="B190" s="49"/>
      <c r="C190" s="50"/>
      <c r="D190" s="51"/>
      <c r="E190" s="50"/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90"/>
      <c r="V190" s="91"/>
      <c r="W190" s="92"/>
      <c r="X190" s="92"/>
      <c r="Y190" s="92"/>
      <c r="Z190" s="91"/>
      <c r="AA190" s="93"/>
      <c r="AB190" s="99"/>
      <c r="AC190" s="54"/>
      <c r="AD190" s="54"/>
      <c r="AE190" s="54"/>
      <c r="AF190" s="54"/>
      <c r="AG190" s="54"/>
      <c r="AH190" s="54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113"/>
      <c r="BB190" s="110"/>
      <c r="BC190" s="110"/>
      <c r="BD190" s="110"/>
      <c r="BE190" s="110"/>
      <c r="BF190" s="110"/>
      <c r="BG190" s="110"/>
      <c r="BH190" s="110"/>
      <c r="BI190" s="113"/>
      <c r="BJ190" s="110"/>
      <c r="BK190" s="110"/>
      <c r="BL190" s="110"/>
      <c r="BM190" s="110"/>
      <c r="BN190" s="113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3"/>
      <c r="BY190" s="110"/>
      <c r="BZ190" s="110"/>
      <c r="CA190" s="110"/>
      <c r="CB190" s="110"/>
      <c r="CC190" s="110"/>
      <c r="CD190" s="110"/>
      <c r="CE190" s="110"/>
      <c r="CF190" s="110"/>
      <c r="CG190" s="113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66"/>
      <c r="DA190" s="70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56"/>
      <c r="DR190" s="57"/>
      <c r="DS190" s="58"/>
      <c r="DT190" s="58"/>
      <c r="DU190" s="58"/>
      <c r="DV190" s="58"/>
      <c r="DW190" s="58"/>
      <c r="DX190" s="58"/>
      <c r="DY190" s="58"/>
      <c r="DZ190" s="59"/>
      <c r="EA190" s="60"/>
      <c r="EB190" s="61"/>
      <c r="EC190" s="62"/>
      <c r="ED190" s="2"/>
      <c r="EE190" s="63"/>
      <c r="EF190" s="63"/>
      <c r="EG190" s="63"/>
      <c r="EH190" s="63"/>
      <c r="EI190" s="63"/>
      <c r="EJ190" s="63"/>
      <c r="EK190" s="63"/>
      <c r="EL190" s="63"/>
      <c r="EM190" s="63"/>
      <c r="EN190" s="63"/>
      <c r="EO190" s="63"/>
      <c r="EP190" s="63"/>
      <c r="EQ190" s="63"/>
      <c r="ER190" s="63"/>
      <c r="ES190" s="63"/>
      <c r="ET190" s="63"/>
      <c r="EU190" s="80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5"/>
      <c r="FH190" s="84"/>
      <c r="FI190" s="64"/>
      <c r="FJ190" s="8"/>
      <c r="FK190" s="48"/>
      <c r="FL190" s="48"/>
      <c r="FM190" s="48"/>
      <c r="FN190" s="48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8"/>
      <c r="GG190" s="48"/>
      <c r="GH190" s="48"/>
      <c r="GI190" s="48"/>
      <c r="GJ190" s="8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77"/>
      <c r="GY190" s="77"/>
      <c r="GZ190" s="77"/>
    </row>
    <row r="191" spans="1:208">
      <c r="A191" s="48"/>
      <c r="B191" s="49"/>
      <c r="C191" s="50"/>
      <c r="D191" s="51"/>
      <c r="E191" s="50"/>
      <c r="F191" s="52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90"/>
      <c r="V191" s="91"/>
      <c r="W191" s="92"/>
      <c r="X191" s="92"/>
      <c r="Y191" s="92"/>
      <c r="Z191" s="91"/>
      <c r="AA191" s="93"/>
      <c r="AB191" s="99"/>
      <c r="AC191" s="54"/>
      <c r="AD191" s="54"/>
      <c r="AE191" s="54"/>
      <c r="AF191" s="54"/>
      <c r="AG191" s="54"/>
      <c r="AH191" s="54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113"/>
      <c r="BB191" s="110"/>
      <c r="BC191" s="110"/>
      <c r="BD191" s="110"/>
      <c r="BE191" s="110"/>
      <c r="BF191" s="110"/>
      <c r="BG191" s="110"/>
      <c r="BH191" s="110"/>
      <c r="BI191" s="113"/>
      <c r="BJ191" s="110"/>
      <c r="BK191" s="110"/>
      <c r="BL191" s="110"/>
      <c r="BM191" s="110"/>
      <c r="BN191" s="113"/>
      <c r="BO191" s="110"/>
      <c r="BP191" s="110"/>
      <c r="BQ191" s="110"/>
      <c r="BR191" s="110"/>
      <c r="BS191" s="110"/>
      <c r="BT191" s="110"/>
      <c r="BU191" s="110"/>
      <c r="BV191" s="110"/>
      <c r="BW191" s="110"/>
      <c r="BX191" s="113"/>
      <c r="BY191" s="110"/>
      <c r="BZ191" s="110"/>
      <c r="CA191" s="110"/>
      <c r="CB191" s="110"/>
      <c r="CC191" s="110"/>
      <c r="CD191" s="110"/>
      <c r="CE191" s="110"/>
      <c r="CF191" s="110"/>
      <c r="CG191" s="113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66"/>
      <c r="DA191" s="70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56"/>
      <c r="DR191" s="57"/>
      <c r="DS191" s="58"/>
      <c r="DT191" s="58"/>
      <c r="DU191" s="58"/>
      <c r="DV191" s="58"/>
      <c r="DW191" s="58"/>
      <c r="DX191" s="58"/>
      <c r="DY191" s="58"/>
      <c r="DZ191" s="59"/>
      <c r="EA191" s="60"/>
      <c r="EB191" s="61"/>
      <c r="EC191" s="62"/>
      <c r="ED191" s="2"/>
      <c r="EE191" s="63"/>
      <c r="EF191" s="63"/>
      <c r="EG191" s="63"/>
      <c r="EH191" s="63"/>
      <c r="EI191" s="63"/>
      <c r="EJ191" s="63"/>
      <c r="EK191" s="63"/>
      <c r="EL191" s="63"/>
      <c r="EM191" s="63"/>
      <c r="EN191" s="63"/>
      <c r="EO191" s="63"/>
      <c r="EP191" s="63"/>
      <c r="EQ191" s="63"/>
      <c r="ER191" s="63"/>
      <c r="ES191" s="63"/>
      <c r="ET191" s="63"/>
      <c r="EU191" s="80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5"/>
      <c r="FH191" s="84"/>
      <c r="FI191" s="64"/>
      <c r="FJ191" s="8"/>
      <c r="FK191" s="48"/>
      <c r="FL191" s="48"/>
      <c r="FM191" s="48"/>
      <c r="FN191" s="48"/>
      <c r="FO191" s="48"/>
      <c r="FP191" s="48"/>
      <c r="FQ191" s="48"/>
      <c r="FR191" s="48"/>
      <c r="FS191" s="48"/>
      <c r="FT191" s="48"/>
      <c r="FU191" s="48"/>
      <c r="FV191" s="48"/>
      <c r="FW191" s="48"/>
      <c r="FX191" s="48"/>
      <c r="FY191" s="48"/>
      <c r="FZ191" s="48"/>
      <c r="GA191" s="48"/>
      <c r="GB191" s="48"/>
      <c r="GC191" s="48"/>
      <c r="GD191" s="48"/>
      <c r="GE191" s="48"/>
      <c r="GF191" s="48"/>
      <c r="GG191" s="48"/>
      <c r="GH191" s="48"/>
      <c r="GI191" s="48"/>
      <c r="GJ191" s="8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77"/>
      <c r="GY191" s="77"/>
      <c r="GZ191" s="77"/>
    </row>
    <row r="192" spans="1:208">
      <c r="A192" s="48"/>
      <c r="B192" s="49"/>
      <c r="C192" s="50"/>
      <c r="D192" s="51"/>
      <c r="E192" s="50"/>
      <c r="F192" s="52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90"/>
      <c r="V192" s="91"/>
      <c r="W192" s="92"/>
      <c r="X192" s="92"/>
      <c r="Y192" s="92"/>
      <c r="Z192" s="91"/>
      <c r="AA192" s="93"/>
      <c r="AB192" s="99"/>
      <c r="AC192" s="54"/>
      <c r="AD192" s="54"/>
      <c r="AE192" s="54"/>
      <c r="AF192" s="54"/>
      <c r="AG192" s="54"/>
      <c r="AH192" s="54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113"/>
      <c r="BB192" s="110"/>
      <c r="BC192" s="110"/>
      <c r="BD192" s="110"/>
      <c r="BE192" s="110"/>
      <c r="BF192" s="110"/>
      <c r="BG192" s="110"/>
      <c r="BH192" s="110"/>
      <c r="BI192" s="113"/>
      <c r="BJ192" s="110"/>
      <c r="BK192" s="110"/>
      <c r="BL192" s="110"/>
      <c r="BM192" s="110"/>
      <c r="BN192" s="113"/>
      <c r="BO192" s="110"/>
      <c r="BP192" s="110"/>
      <c r="BQ192" s="110"/>
      <c r="BR192" s="110"/>
      <c r="BS192" s="110"/>
      <c r="BT192" s="110"/>
      <c r="BU192" s="110"/>
      <c r="BV192" s="110"/>
      <c r="BW192" s="110"/>
      <c r="BX192" s="113"/>
      <c r="BY192" s="110"/>
      <c r="BZ192" s="110"/>
      <c r="CA192" s="110"/>
      <c r="CB192" s="110"/>
      <c r="CC192" s="110"/>
      <c r="CD192" s="110"/>
      <c r="CE192" s="110"/>
      <c r="CF192" s="110"/>
      <c r="CG192" s="113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66"/>
      <c r="DA192" s="70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56"/>
      <c r="DR192" s="57"/>
      <c r="DS192" s="58"/>
      <c r="DT192" s="58"/>
      <c r="DU192" s="58"/>
      <c r="DV192" s="58"/>
      <c r="DW192" s="58"/>
      <c r="DX192" s="58"/>
      <c r="DY192" s="58"/>
      <c r="DZ192" s="59"/>
      <c r="EA192" s="60"/>
      <c r="EB192" s="61"/>
      <c r="EC192" s="62"/>
      <c r="ED192" s="2"/>
      <c r="EE192" s="63"/>
      <c r="EF192" s="63"/>
      <c r="EG192" s="63"/>
      <c r="EH192" s="63"/>
      <c r="EI192" s="63"/>
      <c r="EJ192" s="63"/>
      <c r="EK192" s="63"/>
      <c r="EL192" s="63"/>
      <c r="EM192" s="63"/>
      <c r="EN192" s="63"/>
      <c r="EO192" s="63"/>
      <c r="EP192" s="63"/>
      <c r="EQ192" s="63"/>
      <c r="ER192" s="63"/>
      <c r="ES192" s="63"/>
      <c r="ET192" s="63"/>
      <c r="EU192" s="80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5"/>
      <c r="FH192" s="84"/>
      <c r="FI192" s="64"/>
      <c r="FJ192" s="8"/>
      <c r="FK192" s="48"/>
      <c r="FL192" s="48"/>
      <c r="FM192" s="48"/>
      <c r="FN192" s="48"/>
      <c r="FO192" s="48"/>
      <c r="FP192" s="48"/>
      <c r="FQ192" s="48"/>
      <c r="FR192" s="48"/>
      <c r="FS192" s="48"/>
      <c r="FT192" s="48"/>
      <c r="FU192" s="48"/>
      <c r="FV192" s="48"/>
      <c r="FW192" s="48"/>
      <c r="FX192" s="48"/>
      <c r="FY192" s="48"/>
      <c r="FZ192" s="48"/>
      <c r="GA192" s="48"/>
      <c r="GB192" s="48"/>
      <c r="GC192" s="48"/>
      <c r="GD192" s="48"/>
      <c r="GE192" s="48"/>
      <c r="GF192" s="48"/>
      <c r="GG192" s="48"/>
      <c r="GH192" s="48"/>
      <c r="GI192" s="48"/>
      <c r="GJ192" s="8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77"/>
      <c r="GY192" s="77"/>
      <c r="GZ192" s="77"/>
    </row>
    <row r="193" spans="1:208">
      <c r="A193" s="48"/>
      <c r="B193" s="49"/>
      <c r="C193" s="50"/>
      <c r="D193" s="51"/>
      <c r="E193" s="50"/>
      <c r="F193" s="52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90"/>
      <c r="V193" s="91"/>
      <c r="W193" s="92"/>
      <c r="X193" s="92"/>
      <c r="Y193" s="92"/>
      <c r="Z193" s="91"/>
      <c r="AA193" s="93"/>
      <c r="AB193" s="99"/>
      <c r="AC193" s="54"/>
      <c r="AD193" s="54"/>
      <c r="AE193" s="54"/>
      <c r="AF193" s="54"/>
      <c r="AG193" s="54"/>
      <c r="AH193" s="54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113"/>
      <c r="BB193" s="110"/>
      <c r="BC193" s="110"/>
      <c r="BD193" s="110"/>
      <c r="BE193" s="110"/>
      <c r="BF193" s="110"/>
      <c r="BG193" s="110"/>
      <c r="BH193" s="110"/>
      <c r="BI193" s="113"/>
      <c r="BJ193" s="110"/>
      <c r="BK193" s="110"/>
      <c r="BL193" s="110"/>
      <c r="BM193" s="110"/>
      <c r="BN193" s="113"/>
      <c r="BO193" s="110"/>
      <c r="BP193" s="110"/>
      <c r="BQ193" s="110"/>
      <c r="BR193" s="110"/>
      <c r="BS193" s="110"/>
      <c r="BT193" s="110"/>
      <c r="BU193" s="110"/>
      <c r="BV193" s="110"/>
      <c r="BW193" s="110"/>
      <c r="BX193" s="113"/>
      <c r="BY193" s="110"/>
      <c r="BZ193" s="110"/>
      <c r="CA193" s="110"/>
      <c r="CB193" s="110"/>
      <c r="CC193" s="110"/>
      <c r="CD193" s="110"/>
      <c r="CE193" s="110"/>
      <c r="CF193" s="110"/>
      <c r="CG193" s="113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66"/>
      <c r="DA193" s="70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56"/>
      <c r="DR193" s="57"/>
      <c r="DS193" s="58"/>
      <c r="DT193" s="58"/>
      <c r="DU193" s="58"/>
      <c r="DV193" s="58"/>
      <c r="DW193" s="58"/>
      <c r="DX193" s="58"/>
      <c r="DY193" s="58"/>
      <c r="DZ193" s="59"/>
      <c r="EA193" s="60"/>
      <c r="EB193" s="61"/>
      <c r="EC193" s="62"/>
      <c r="ED193" s="2"/>
      <c r="EE193" s="63"/>
      <c r="EF193" s="63"/>
      <c r="EG193" s="63"/>
      <c r="EH193" s="63"/>
      <c r="EI193" s="63"/>
      <c r="EJ193" s="63"/>
      <c r="EK193" s="63"/>
      <c r="EL193" s="63"/>
      <c r="EM193" s="63"/>
      <c r="EN193" s="63"/>
      <c r="EO193" s="63"/>
      <c r="EP193" s="63"/>
      <c r="EQ193" s="63"/>
      <c r="ER193" s="63"/>
      <c r="ES193" s="63"/>
      <c r="ET193" s="63"/>
      <c r="EU193" s="80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5"/>
      <c r="FH193" s="84"/>
      <c r="FI193" s="64"/>
      <c r="FJ193" s="8"/>
      <c r="FK193" s="48"/>
      <c r="FL193" s="48"/>
      <c r="FM193" s="48"/>
      <c r="FN193" s="48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8"/>
      <c r="GG193" s="48"/>
      <c r="GH193" s="48"/>
      <c r="GI193" s="48"/>
      <c r="GJ193" s="8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77"/>
      <c r="GY193" s="77"/>
      <c r="GZ193" s="77"/>
    </row>
    <row r="194" spans="1:208">
      <c r="A194" s="48"/>
      <c r="B194" s="49"/>
      <c r="C194" s="50"/>
      <c r="D194" s="51"/>
      <c r="E194" s="50"/>
      <c r="F194" s="52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90"/>
      <c r="V194" s="91"/>
      <c r="W194" s="92"/>
      <c r="X194" s="92"/>
      <c r="Y194" s="92"/>
      <c r="Z194" s="91"/>
      <c r="AA194" s="93"/>
      <c r="AB194" s="99"/>
      <c r="AC194" s="54"/>
      <c r="AD194" s="54"/>
      <c r="AE194" s="54"/>
      <c r="AF194" s="54"/>
      <c r="AG194" s="54"/>
      <c r="AH194" s="54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113"/>
      <c r="BB194" s="110"/>
      <c r="BC194" s="110"/>
      <c r="BD194" s="110"/>
      <c r="BE194" s="110"/>
      <c r="BF194" s="110"/>
      <c r="BG194" s="110"/>
      <c r="BH194" s="110"/>
      <c r="BI194" s="113"/>
      <c r="BJ194" s="110"/>
      <c r="BK194" s="110"/>
      <c r="BL194" s="110"/>
      <c r="BM194" s="110"/>
      <c r="BN194" s="113"/>
      <c r="BO194" s="110"/>
      <c r="BP194" s="110"/>
      <c r="BQ194" s="110"/>
      <c r="BR194" s="110"/>
      <c r="BS194" s="110"/>
      <c r="BT194" s="110"/>
      <c r="BU194" s="110"/>
      <c r="BV194" s="110"/>
      <c r="BW194" s="110"/>
      <c r="BX194" s="113"/>
      <c r="BY194" s="110"/>
      <c r="BZ194" s="110"/>
      <c r="CA194" s="110"/>
      <c r="CB194" s="110"/>
      <c r="CC194" s="110"/>
      <c r="CD194" s="110"/>
      <c r="CE194" s="110"/>
      <c r="CF194" s="110"/>
      <c r="CG194" s="113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66"/>
      <c r="DA194" s="70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56"/>
      <c r="DR194" s="57"/>
      <c r="DS194" s="58"/>
      <c r="DT194" s="58"/>
      <c r="DU194" s="58"/>
      <c r="DV194" s="58"/>
      <c r="DW194" s="58"/>
      <c r="DX194" s="58"/>
      <c r="DY194" s="58"/>
      <c r="DZ194" s="59"/>
      <c r="EA194" s="60"/>
      <c r="EB194" s="61"/>
      <c r="EC194" s="62"/>
      <c r="ED194" s="2"/>
      <c r="EE194" s="63"/>
      <c r="EF194" s="63"/>
      <c r="EG194" s="63"/>
      <c r="EH194" s="63"/>
      <c r="EI194" s="63"/>
      <c r="EJ194" s="63"/>
      <c r="EK194" s="63"/>
      <c r="EL194" s="63"/>
      <c r="EM194" s="63"/>
      <c r="EN194" s="63"/>
      <c r="EO194" s="63"/>
      <c r="EP194" s="63"/>
      <c r="EQ194" s="63"/>
      <c r="ER194" s="63"/>
      <c r="ES194" s="63"/>
      <c r="ET194" s="63"/>
      <c r="EU194" s="80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5"/>
      <c r="FH194" s="84"/>
      <c r="FI194" s="64"/>
      <c r="FJ194" s="8"/>
      <c r="FK194" s="48"/>
      <c r="FL194" s="48"/>
      <c r="FM194" s="48"/>
      <c r="FN194" s="48"/>
      <c r="FO194" s="48"/>
      <c r="FP194" s="48"/>
      <c r="FQ194" s="48"/>
      <c r="FR194" s="48"/>
      <c r="FS194" s="48"/>
      <c r="FT194" s="48"/>
      <c r="FU194" s="48"/>
      <c r="FV194" s="48"/>
      <c r="FW194" s="48"/>
      <c r="FX194" s="48"/>
      <c r="FY194" s="48"/>
      <c r="FZ194" s="48"/>
      <c r="GA194" s="48"/>
      <c r="GB194" s="48"/>
      <c r="GC194" s="48"/>
      <c r="GD194" s="48"/>
      <c r="GE194" s="48"/>
      <c r="GF194" s="48"/>
      <c r="GG194" s="48"/>
      <c r="GH194" s="48"/>
      <c r="GI194" s="48"/>
      <c r="GJ194" s="8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77"/>
      <c r="GY194" s="77"/>
      <c r="GZ194" s="77"/>
    </row>
    <row r="195" spans="1:208">
      <c r="A195" s="48"/>
      <c r="B195" s="49"/>
      <c r="C195" s="50"/>
      <c r="D195" s="51"/>
      <c r="E195" s="50"/>
      <c r="F195" s="52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90"/>
      <c r="V195" s="91"/>
      <c r="W195" s="92"/>
      <c r="X195" s="92"/>
      <c r="Y195" s="92"/>
      <c r="Z195" s="91"/>
      <c r="AA195" s="93"/>
      <c r="AB195" s="99"/>
      <c r="AC195" s="54"/>
      <c r="AD195" s="54"/>
      <c r="AE195" s="54"/>
      <c r="AF195" s="54"/>
      <c r="AG195" s="54"/>
      <c r="AH195" s="54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113"/>
      <c r="BB195" s="110"/>
      <c r="BC195" s="110"/>
      <c r="BD195" s="110"/>
      <c r="BE195" s="110"/>
      <c r="BF195" s="110"/>
      <c r="BG195" s="110"/>
      <c r="BH195" s="110"/>
      <c r="BI195" s="113"/>
      <c r="BJ195" s="110"/>
      <c r="BK195" s="110"/>
      <c r="BL195" s="110"/>
      <c r="BM195" s="110"/>
      <c r="BN195" s="113"/>
      <c r="BO195" s="110"/>
      <c r="BP195" s="110"/>
      <c r="BQ195" s="110"/>
      <c r="BR195" s="110"/>
      <c r="BS195" s="110"/>
      <c r="BT195" s="110"/>
      <c r="BU195" s="110"/>
      <c r="BV195" s="110"/>
      <c r="BW195" s="110"/>
      <c r="BX195" s="113"/>
      <c r="BY195" s="110"/>
      <c r="BZ195" s="110"/>
      <c r="CA195" s="110"/>
      <c r="CB195" s="110"/>
      <c r="CC195" s="110"/>
      <c r="CD195" s="110"/>
      <c r="CE195" s="110"/>
      <c r="CF195" s="110"/>
      <c r="CG195" s="113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66"/>
      <c r="DA195" s="70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56"/>
      <c r="DR195" s="57"/>
      <c r="DS195" s="58"/>
      <c r="DT195" s="58"/>
      <c r="DU195" s="58"/>
      <c r="DV195" s="58"/>
      <c r="DW195" s="58"/>
      <c r="DX195" s="58"/>
      <c r="DY195" s="58"/>
      <c r="DZ195" s="59"/>
      <c r="EA195" s="60"/>
      <c r="EB195" s="61"/>
      <c r="EC195" s="62"/>
      <c r="ED195" s="2"/>
      <c r="EE195" s="63"/>
      <c r="EF195" s="63"/>
      <c r="EG195" s="63"/>
      <c r="EH195" s="63"/>
      <c r="EI195" s="63"/>
      <c r="EJ195" s="63"/>
      <c r="EK195" s="63"/>
      <c r="EL195" s="63"/>
      <c r="EM195" s="63"/>
      <c r="EN195" s="63"/>
      <c r="EO195" s="63"/>
      <c r="EP195" s="63"/>
      <c r="EQ195" s="63"/>
      <c r="ER195" s="63"/>
      <c r="ES195" s="63"/>
      <c r="ET195" s="63"/>
      <c r="EU195" s="80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5"/>
      <c r="FH195" s="84"/>
      <c r="FI195" s="64"/>
      <c r="FJ195" s="8"/>
      <c r="FK195" s="48"/>
      <c r="FL195" s="48"/>
      <c r="FM195" s="48"/>
      <c r="FN195" s="48"/>
      <c r="FO195" s="48"/>
      <c r="FP195" s="48"/>
      <c r="FQ195" s="48"/>
      <c r="FR195" s="48"/>
      <c r="FS195" s="48"/>
      <c r="FT195" s="48"/>
      <c r="FU195" s="48"/>
      <c r="FV195" s="48"/>
      <c r="FW195" s="48"/>
      <c r="FX195" s="48"/>
      <c r="FY195" s="48"/>
      <c r="FZ195" s="48"/>
      <c r="GA195" s="48"/>
      <c r="GB195" s="48"/>
      <c r="GC195" s="48"/>
      <c r="GD195" s="48"/>
      <c r="GE195" s="48"/>
      <c r="GF195" s="48"/>
      <c r="GG195" s="48"/>
      <c r="GH195" s="48"/>
      <c r="GI195" s="48"/>
      <c r="GJ195" s="8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77"/>
      <c r="GY195" s="77"/>
      <c r="GZ195" s="77"/>
    </row>
    <row r="196" spans="1:208">
      <c r="A196" s="48"/>
      <c r="B196" s="49"/>
      <c r="C196" s="50"/>
      <c r="D196" s="51"/>
      <c r="E196" s="50"/>
      <c r="F196" s="52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90"/>
      <c r="V196" s="91"/>
      <c r="W196" s="92"/>
      <c r="X196" s="92"/>
      <c r="Y196" s="92"/>
      <c r="Z196" s="91"/>
      <c r="AA196" s="93"/>
      <c r="AB196" s="99"/>
      <c r="AC196" s="54"/>
      <c r="AD196" s="54"/>
      <c r="AE196" s="54"/>
      <c r="AF196" s="54"/>
      <c r="AG196" s="54"/>
      <c r="AH196" s="54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113"/>
      <c r="BB196" s="110"/>
      <c r="BC196" s="110"/>
      <c r="BD196" s="110"/>
      <c r="BE196" s="110"/>
      <c r="BF196" s="110"/>
      <c r="BG196" s="110"/>
      <c r="BH196" s="110"/>
      <c r="BI196" s="113"/>
      <c r="BJ196" s="110"/>
      <c r="BK196" s="110"/>
      <c r="BL196" s="110"/>
      <c r="BM196" s="110"/>
      <c r="BN196" s="113"/>
      <c r="BO196" s="110"/>
      <c r="BP196" s="110"/>
      <c r="BQ196" s="110"/>
      <c r="BR196" s="110"/>
      <c r="BS196" s="110"/>
      <c r="BT196" s="110"/>
      <c r="BU196" s="110"/>
      <c r="BV196" s="110"/>
      <c r="BW196" s="110"/>
      <c r="BX196" s="113"/>
      <c r="BY196" s="110"/>
      <c r="BZ196" s="110"/>
      <c r="CA196" s="110"/>
      <c r="CB196" s="110"/>
      <c r="CC196" s="110"/>
      <c r="CD196" s="110"/>
      <c r="CE196" s="110"/>
      <c r="CF196" s="110"/>
      <c r="CG196" s="113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66"/>
      <c r="DA196" s="70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56"/>
      <c r="DR196" s="57"/>
      <c r="DS196" s="58"/>
      <c r="DT196" s="58"/>
      <c r="DU196" s="58"/>
      <c r="DV196" s="58"/>
      <c r="DW196" s="58"/>
      <c r="DX196" s="58"/>
      <c r="DY196" s="58"/>
      <c r="DZ196" s="59"/>
      <c r="EA196" s="60"/>
      <c r="EB196" s="61"/>
      <c r="EC196" s="62"/>
      <c r="ED196" s="2"/>
      <c r="EE196" s="63"/>
      <c r="EF196" s="63"/>
      <c r="EG196" s="63"/>
      <c r="EH196" s="63"/>
      <c r="EI196" s="63"/>
      <c r="EJ196" s="63"/>
      <c r="EK196" s="63"/>
      <c r="EL196" s="63"/>
      <c r="EM196" s="63"/>
      <c r="EN196" s="63"/>
      <c r="EO196" s="63"/>
      <c r="EP196" s="63"/>
      <c r="EQ196" s="63"/>
      <c r="ER196" s="63"/>
      <c r="ES196" s="63"/>
      <c r="ET196" s="63"/>
      <c r="EU196" s="80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5"/>
      <c r="FH196" s="84"/>
      <c r="FI196" s="64"/>
      <c r="FJ196" s="8"/>
      <c r="FK196" s="48"/>
      <c r="FL196" s="48"/>
      <c r="FM196" s="48"/>
      <c r="FN196" s="48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8"/>
      <c r="GG196" s="48"/>
      <c r="GH196" s="48"/>
      <c r="GI196" s="48"/>
      <c r="GJ196" s="8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77"/>
      <c r="GY196" s="77"/>
      <c r="GZ196" s="77"/>
    </row>
    <row r="197" spans="1:208">
      <c r="A197" s="48"/>
      <c r="B197" s="49"/>
      <c r="C197" s="50"/>
      <c r="D197" s="51"/>
      <c r="E197" s="50"/>
      <c r="F197" s="52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90"/>
      <c r="V197" s="91"/>
      <c r="W197" s="92"/>
      <c r="X197" s="92"/>
      <c r="Y197" s="92"/>
      <c r="Z197" s="91"/>
      <c r="AA197" s="93"/>
      <c r="AB197" s="99"/>
      <c r="AC197" s="54"/>
      <c r="AD197" s="54"/>
      <c r="AE197" s="54"/>
      <c r="AF197" s="54"/>
      <c r="AG197" s="54"/>
      <c r="AH197" s="54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113"/>
      <c r="BB197" s="110"/>
      <c r="BC197" s="110"/>
      <c r="BD197" s="110"/>
      <c r="BE197" s="110"/>
      <c r="BF197" s="110"/>
      <c r="BG197" s="110"/>
      <c r="BH197" s="110"/>
      <c r="BI197" s="113"/>
      <c r="BJ197" s="110"/>
      <c r="BK197" s="110"/>
      <c r="BL197" s="110"/>
      <c r="BM197" s="110"/>
      <c r="BN197" s="113"/>
      <c r="BO197" s="110"/>
      <c r="BP197" s="110"/>
      <c r="BQ197" s="110"/>
      <c r="BR197" s="110"/>
      <c r="BS197" s="110"/>
      <c r="BT197" s="110"/>
      <c r="BU197" s="110"/>
      <c r="BV197" s="110"/>
      <c r="BW197" s="110"/>
      <c r="BX197" s="113"/>
      <c r="BY197" s="110"/>
      <c r="BZ197" s="110"/>
      <c r="CA197" s="110"/>
      <c r="CB197" s="110"/>
      <c r="CC197" s="110"/>
      <c r="CD197" s="110"/>
      <c r="CE197" s="110"/>
      <c r="CF197" s="110"/>
      <c r="CG197" s="113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66"/>
      <c r="DA197" s="70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56"/>
      <c r="DR197" s="57"/>
      <c r="DS197" s="58"/>
      <c r="DT197" s="58"/>
      <c r="DU197" s="58"/>
      <c r="DV197" s="58"/>
      <c r="DW197" s="58"/>
      <c r="DX197" s="58"/>
      <c r="DY197" s="58"/>
      <c r="DZ197" s="59"/>
      <c r="EA197" s="60"/>
      <c r="EB197" s="61"/>
      <c r="EC197" s="62"/>
      <c r="ED197" s="2"/>
      <c r="EE197" s="63"/>
      <c r="EF197" s="63"/>
      <c r="EG197" s="63"/>
      <c r="EH197" s="63"/>
      <c r="EI197" s="63"/>
      <c r="EJ197" s="63"/>
      <c r="EK197" s="63"/>
      <c r="EL197" s="63"/>
      <c r="EM197" s="63"/>
      <c r="EN197" s="63"/>
      <c r="EO197" s="63"/>
      <c r="EP197" s="63"/>
      <c r="EQ197" s="63"/>
      <c r="ER197" s="63"/>
      <c r="ES197" s="63"/>
      <c r="ET197" s="63"/>
      <c r="EU197" s="80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5"/>
      <c r="FH197" s="84"/>
      <c r="FI197" s="64"/>
      <c r="FJ197" s="8"/>
      <c r="FK197" s="48"/>
      <c r="FL197" s="48"/>
      <c r="FM197" s="48"/>
      <c r="FN197" s="48"/>
      <c r="FO197" s="48"/>
      <c r="FP197" s="48"/>
      <c r="FQ197" s="48"/>
      <c r="FR197" s="48"/>
      <c r="FS197" s="48"/>
      <c r="FT197" s="48"/>
      <c r="FU197" s="48"/>
      <c r="FV197" s="48"/>
      <c r="FW197" s="48"/>
      <c r="FX197" s="48"/>
      <c r="FY197" s="48"/>
      <c r="FZ197" s="48"/>
      <c r="GA197" s="48"/>
      <c r="GB197" s="48"/>
      <c r="GC197" s="48"/>
      <c r="GD197" s="48"/>
      <c r="GE197" s="48"/>
      <c r="GF197" s="48"/>
      <c r="GG197" s="48"/>
      <c r="GH197" s="48"/>
      <c r="GI197" s="48"/>
      <c r="GJ197" s="8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77"/>
      <c r="GY197" s="77"/>
      <c r="GZ197" s="77"/>
    </row>
    <row r="198" spans="1:208">
      <c r="A198" s="48"/>
      <c r="B198" s="49"/>
      <c r="C198" s="50"/>
      <c r="D198" s="51"/>
      <c r="E198" s="50"/>
      <c r="F198" s="52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90"/>
      <c r="V198" s="91"/>
      <c r="W198" s="92"/>
      <c r="X198" s="92"/>
      <c r="Y198" s="92"/>
      <c r="Z198" s="91"/>
      <c r="AA198" s="93"/>
      <c r="AB198" s="99"/>
      <c r="AC198" s="54"/>
      <c r="AD198" s="54"/>
      <c r="AE198" s="54"/>
      <c r="AF198" s="54"/>
      <c r="AG198" s="54"/>
      <c r="AH198" s="54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113"/>
      <c r="BB198" s="110"/>
      <c r="BC198" s="110"/>
      <c r="BD198" s="110"/>
      <c r="BE198" s="110"/>
      <c r="BF198" s="110"/>
      <c r="BG198" s="110"/>
      <c r="BH198" s="110"/>
      <c r="BI198" s="113"/>
      <c r="BJ198" s="110"/>
      <c r="BK198" s="110"/>
      <c r="BL198" s="110"/>
      <c r="BM198" s="110"/>
      <c r="BN198" s="113"/>
      <c r="BO198" s="110"/>
      <c r="BP198" s="110"/>
      <c r="BQ198" s="110"/>
      <c r="BR198" s="110"/>
      <c r="BS198" s="110"/>
      <c r="BT198" s="110"/>
      <c r="BU198" s="110"/>
      <c r="BV198" s="110"/>
      <c r="BW198" s="110"/>
      <c r="BX198" s="113"/>
      <c r="BY198" s="110"/>
      <c r="BZ198" s="110"/>
      <c r="CA198" s="110"/>
      <c r="CB198" s="110"/>
      <c r="CC198" s="110"/>
      <c r="CD198" s="110"/>
      <c r="CE198" s="110"/>
      <c r="CF198" s="110"/>
      <c r="CG198" s="113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66"/>
      <c r="DA198" s="70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56"/>
      <c r="DR198" s="57"/>
      <c r="DS198" s="58"/>
      <c r="DT198" s="58"/>
      <c r="DU198" s="58"/>
      <c r="DV198" s="58"/>
      <c r="DW198" s="58"/>
      <c r="DX198" s="58"/>
      <c r="DY198" s="58"/>
      <c r="DZ198" s="59"/>
      <c r="EA198" s="60"/>
      <c r="EB198" s="61"/>
      <c r="EC198" s="62"/>
      <c r="ED198" s="2"/>
      <c r="EE198" s="63"/>
      <c r="EF198" s="63"/>
      <c r="EG198" s="63"/>
      <c r="EH198" s="63"/>
      <c r="EI198" s="63"/>
      <c r="EJ198" s="63"/>
      <c r="EK198" s="63"/>
      <c r="EL198" s="63"/>
      <c r="EM198" s="63"/>
      <c r="EN198" s="63"/>
      <c r="EO198" s="63"/>
      <c r="EP198" s="63"/>
      <c r="EQ198" s="63"/>
      <c r="ER198" s="63"/>
      <c r="ES198" s="63"/>
      <c r="ET198" s="63"/>
      <c r="EU198" s="80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5"/>
      <c r="FH198" s="84"/>
      <c r="FI198" s="64"/>
      <c r="FJ198" s="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FY198" s="48"/>
      <c r="FZ198" s="48"/>
      <c r="GA198" s="48"/>
      <c r="GB198" s="48"/>
      <c r="GC198" s="48"/>
      <c r="GD198" s="48"/>
      <c r="GE198" s="48"/>
      <c r="GF198" s="48"/>
      <c r="GG198" s="48"/>
      <c r="GH198" s="48"/>
      <c r="GI198" s="48"/>
      <c r="GJ198" s="8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77"/>
      <c r="GY198" s="77"/>
      <c r="GZ198" s="77"/>
    </row>
    <row r="199" spans="1:208">
      <c r="A199" s="48"/>
      <c r="B199" s="49"/>
      <c r="C199" s="50"/>
      <c r="D199" s="51"/>
      <c r="E199" s="50"/>
      <c r="F199" s="52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90"/>
      <c r="V199" s="91"/>
      <c r="W199" s="92"/>
      <c r="X199" s="92"/>
      <c r="Y199" s="92"/>
      <c r="Z199" s="91"/>
      <c r="AA199" s="93"/>
      <c r="AB199" s="99"/>
      <c r="AC199" s="54"/>
      <c r="AD199" s="54"/>
      <c r="AE199" s="54"/>
      <c r="AF199" s="54"/>
      <c r="AG199" s="54"/>
      <c r="AH199" s="54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113"/>
      <c r="BB199" s="110"/>
      <c r="BC199" s="110"/>
      <c r="BD199" s="110"/>
      <c r="BE199" s="110"/>
      <c r="BF199" s="110"/>
      <c r="BG199" s="110"/>
      <c r="BH199" s="110"/>
      <c r="BI199" s="113"/>
      <c r="BJ199" s="110"/>
      <c r="BK199" s="110"/>
      <c r="BL199" s="110"/>
      <c r="BM199" s="110"/>
      <c r="BN199" s="113"/>
      <c r="BO199" s="110"/>
      <c r="BP199" s="110"/>
      <c r="BQ199" s="110"/>
      <c r="BR199" s="110"/>
      <c r="BS199" s="110"/>
      <c r="BT199" s="110"/>
      <c r="BU199" s="110"/>
      <c r="BV199" s="110"/>
      <c r="BW199" s="110"/>
      <c r="BX199" s="113"/>
      <c r="BY199" s="110"/>
      <c r="BZ199" s="110"/>
      <c r="CA199" s="110"/>
      <c r="CB199" s="110"/>
      <c r="CC199" s="110"/>
      <c r="CD199" s="110"/>
      <c r="CE199" s="110"/>
      <c r="CF199" s="110"/>
      <c r="CG199" s="113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66"/>
      <c r="DA199" s="70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56"/>
      <c r="DR199" s="57"/>
      <c r="DS199" s="58"/>
      <c r="DT199" s="58"/>
      <c r="DU199" s="58"/>
      <c r="DV199" s="58"/>
      <c r="DW199" s="58"/>
      <c r="DX199" s="58"/>
      <c r="DY199" s="58"/>
      <c r="DZ199" s="59"/>
      <c r="EA199" s="60"/>
      <c r="EB199" s="61"/>
      <c r="EC199" s="62"/>
      <c r="ED199" s="2"/>
      <c r="EE199" s="63"/>
      <c r="EF199" s="63"/>
      <c r="EG199" s="63"/>
      <c r="EH199" s="63"/>
      <c r="EI199" s="63"/>
      <c r="EJ199" s="63"/>
      <c r="EK199" s="63"/>
      <c r="EL199" s="63"/>
      <c r="EM199" s="63"/>
      <c r="EN199" s="63"/>
      <c r="EO199" s="63"/>
      <c r="EP199" s="63"/>
      <c r="EQ199" s="63"/>
      <c r="ER199" s="63"/>
      <c r="ES199" s="63"/>
      <c r="ET199" s="63"/>
      <c r="EU199" s="80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5"/>
      <c r="FH199" s="84"/>
      <c r="FI199" s="64"/>
      <c r="FJ199" s="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8"/>
      <c r="GG199" s="48"/>
      <c r="GH199" s="48"/>
      <c r="GI199" s="48"/>
      <c r="GJ199" s="8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77"/>
      <c r="GY199" s="77"/>
      <c r="GZ199" s="77"/>
    </row>
    <row r="200" spans="1:208">
      <c r="A200" s="48"/>
      <c r="B200" s="49"/>
      <c r="C200" s="50"/>
      <c r="D200" s="51"/>
      <c r="E200" s="50"/>
      <c r="F200" s="52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90"/>
      <c r="V200" s="91"/>
      <c r="W200" s="92"/>
      <c r="X200" s="92"/>
      <c r="Y200" s="92"/>
      <c r="Z200" s="91"/>
      <c r="AA200" s="93"/>
      <c r="AB200" s="99"/>
      <c r="AC200" s="54"/>
      <c r="AD200" s="54"/>
      <c r="AE200" s="54"/>
      <c r="AF200" s="54"/>
      <c r="AG200" s="54"/>
      <c r="AH200" s="54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113"/>
      <c r="BB200" s="110"/>
      <c r="BC200" s="110"/>
      <c r="BD200" s="110"/>
      <c r="BE200" s="110"/>
      <c r="BF200" s="110"/>
      <c r="BG200" s="110"/>
      <c r="BH200" s="110"/>
      <c r="BI200" s="113"/>
      <c r="BJ200" s="110"/>
      <c r="BK200" s="110"/>
      <c r="BL200" s="110"/>
      <c r="BM200" s="110"/>
      <c r="BN200" s="113"/>
      <c r="BO200" s="110"/>
      <c r="BP200" s="110"/>
      <c r="BQ200" s="110"/>
      <c r="BR200" s="110"/>
      <c r="BS200" s="110"/>
      <c r="BT200" s="110"/>
      <c r="BU200" s="110"/>
      <c r="BV200" s="110"/>
      <c r="BW200" s="110"/>
      <c r="BX200" s="113"/>
      <c r="BY200" s="110"/>
      <c r="BZ200" s="110"/>
      <c r="CA200" s="110"/>
      <c r="CB200" s="110"/>
      <c r="CC200" s="110"/>
      <c r="CD200" s="110"/>
      <c r="CE200" s="110"/>
      <c r="CF200" s="110"/>
      <c r="CG200" s="113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66"/>
      <c r="DA200" s="70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56"/>
      <c r="DR200" s="57"/>
      <c r="DS200" s="58"/>
      <c r="DT200" s="58"/>
      <c r="DU200" s="58"/>
      <c r="DV200" s="58"/>
      <c r="DW200" s="58"/>
      <c r="DX200" s="58"/>
      <c r="DY200" s="58"/>
      <c r="DZ200" s="59"/>
      <c r="EA200" s="60"/>
      <c r="EB200" s="61"/>
      <c r="EC200" s="62"/>
      <c r="ED200" s="2"/>
      <c r="EE200" s="63"/>
      <c r="EF200" s="63"/>
      <c r="EG200" s="63"/>
      <c r="EH200" s="63"/>
      <c r="EI200" s="63"/>
      <c r="EJ200" s="63"/>
      <c r="EK200" s="63"/>
      <c r="EL200" s="63"/>
      <c r="EM200" s="63"/>
      <c r="EN200" s="63"/>
      <c r="EO200" s="63"/>
      <c r="EP200" s="63"/>
      <c r="EQ200" s="63"/>
      <c r="ER200" s="63"/>
      <c r="ES200" s="63"/>
      <c r="ET200" s="63"/>
      <c r="EU200" s="80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5"/>
      <c r="FH200" s="84"/>
      <c r="FI200" s="64"/>
      <c r="FJ200" s="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FY200" s="48"/>
      <c r="FZ200" s="48"/>
      <c r="GA200" s="48"/>
      <c r="GB200" s="48"/>
      <c r="GC200" s="48"/>
      <c r="GD200" s="48"/>
      <c r="GE200" s="48"/>
      <c r="GF200" s="48"/>
      <c r="GG200" s="48"/>
      <c r="GH200" s="48"/>
      <c r="GI200" s="48"/>
      <c r="GJ200" s="8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77"/>
      <c r="GY200" s="77"/>
      <c r="GZ200" s="77"/>
    </row>
    <row r="201" spans="1:208">
      <c r="A201" s="48"/>
      <c r="B201" s="49"/>
      <c r="C201" s="50"/>
      <c r="D201" s="51"/>
      <c r="E201" s="50"/>
      <c r="F201" s="52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90"/>
      <c r="V201" s="91"/>
      <c r="W201" s="92"/>
      <c r="X201" s="92"/>
      <c r="Y201" s="92"/>
      <c r="Z201" s="91"/>
      <c r="AA201" s="93"/>
      <c r="AB201" s="99"/>
      <c r="AC201" s="54"/>
      <c r="AD201" s="54"/>
      <c r="AE201" s="54"/>
      <c r="AF201" s="54"/>
      <c r="AG201" s="54"/>
      <c r="AH201" s="54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113"/>
      <c r="BB201" s="110"/>
      <c r="BC201" s="110"/>
      <c r="BD201" s="110"/>
      <c r="BE201" s="110"/>
      <c r="BF201" s="110"/>
      <c r="BG201" s="110"/>
      <c r="BH201" s="110"/>
      <c r="BI201" s="113"/>
      <c r="BJ201" s="110"/>
      <c r="BK201" s="110"/>
      <c r="BL201" s="110"/>
      <c r="BM201" s="110"/>
      <c r="BN201" s="113"/>
      <c r="BO201" s="110"/>
      <c r="BP201" s="110"/>
      <c r="BQ201" s="110"/>
      <c r="BR201" s="110"/>
      <c r="BS201" s="110"/>
      <c r="BT201" s="110"/>
      <c r="BU201" s="110"/>
      <c r="BV201" s="110"/>
      <c r="BW201" s="110"/>
      <c r="BX201" s="113"/>
      <c r="BY201" s="110"/>
      <c r="BZ201" s="110"/>
      <c r="CA201" s="110"/>
      <c r="CB201" s="110"/>
      <c r="CC201" s="110"/>
      <c r="CD201" s="110"/>
      <c r="CE201" s="110"/>
      <c r="CF201" s="110"/>
      <c r="CG201" s="113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66"/>
      <c r="DA201" s="70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56"/>
      <c r="DR201" s="57"/>
      <c r="DS201" s="58"/>
      <c r="DT201" s="58"/>
      <c r="DU201" s="58"/>
      <c r="DV201" s="58"/>
      <c r="DW201" s="58"/>
      <c r="DX201" s="58"/>
      <c r="DY201" s="58"/>
      <c r="DZ201" s="59"/>
      <c r="EA201" s="60"/>
      <c r="EB201" s="61"/>
      <c r="EC201" s="62"/>
      <c r="ED201" s="2"/>
      <c r="EE201" s="63"/>
      <c r="EF201" s="63"/>
      <c r="EG201" s="63"/>
      <c r="EH201" s="63"/>
      <c r="EI201" s="63"/>
      <c r="EJ201" s="63"/>
      <c r="EK201" s="63"/>
      <c r="EL201" s="63"/>
      <c r="EM201" s="63"/>
      <c r="EN201" s="63"/>
      <c r="EO201" s="63"/>
      <c r="EP201" s="63"/>
      <c r="EQ201" s="63"/>
      <c r="ER201" s="63"/>
      <c r="ES201" s="63"/>
      <c r="ET201" s="63"/>
      <c r="EU201" s="80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5"/>
      <c r="FH201" s="84"/>
      <c r="FI201" s="64"/>
      <c r="FJ201" s="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8"/>
      <c r="GG201" s="48"/>
      <c r="GH201" s="48"/>
      <c r="GI201" s="48"/>
      <c r="GJ201" s="8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77"/>
      <c r="GY201" s="77"/>
      <c r="GZ201" s="77"/>
    </row>
    <row r="202" spans="1:208">
      <c r="A202" s="48"/>
      <c r="B202" s="49"/>
      <c r="C202" s="50"/>
      <c r="D202" s="51"/>
      <c r="E202" s="50"/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90"/>
      <c r="V202" s="91"/>
      <c r="W202" s="92"/>
      <c r="X202" s="92"/>
      <c r="Y202" s="92"/>
      <c r="Z202" s="91"/>
      <c r="AA202" s="93"/>
      <c r="AB202" s="99"/>
      <c r="AC202" s="54"/>
      <c r="AD202" s="54"/>
      <c r="AE202" s="54"/>
      <c r="AF202" s="54"/>
      <c r="AG202" s="54"/>
      <c r="AH202" s="54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113"/>
      <c r="BB202" s="110"/>
      <c r="BC202" s="110"/>
      <c r="BD202" s="110"/>
      <c r="BE202" s="110"/>
      <c r="BF202" s="110"/>
      <c r="BG202" s="110"/>
      <c r="BH202" s="110"/>
      <c r="BI202" s="113"/>
      <c r="BJ202" s="110"/>
      <c r="BK202" s="110"/>
      <c r="BL202" s="110"/>
      <c r="BM202" s="110"/>
      <c r="BN202" s="113"/>
      <c r="BO202" s="110"/>
      <c r="BP202" s="110"/>
      <c r="BQ202" s="110"/>
      <c r="BR202" s="110"/>
      <c r="BS202" s="110"/>
      <c r="BT202" s="110"/>
      <c r="BU202" s="110"/>
      <c r="BV202" s="110"/>
      <c r="BW202" s="110"/>
      <c r="BX202" s="113"/>
      <c r="BY202" s="110"/>
      <c r="BZ202" s="110"/>
      <c r="CA202" s="110"/>
      <c r="CB202" s="110"/>
      <c r="CC202" s="110"/>
      <c r="CD202" s="110"/>
      <c r="CE202" s="110"/>
      <c r="CF202" s="110"/>
      <c r="CG202" s="113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66"/>
      <c r="DA202" s="70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56"/>
      <c r="DR202" s="57"/>
      <c r="DS202" s="58"/>
      <c r="DT202" s="58"/>
      <c r="DU202" s="58"/>
      <c r="DV202" s="58"/>
      <c r="DW202" s="58"/>
      <c r="DX202" s="58"/>
      <c r="DY202" s="58"/>
      <c r="DZ202" s="59"/>
      <c r="EA202" s="60"/>
      <c r="EB202" s="61"/>
      <c r="EC202" s="62"/>
      <c r="ED202" s="2"/>
      <c r="EE202" s="63"/>
      <c r="EF202" s="63"/>
      <c r="EG202" s="63"/>
      <c r="EH202" s="63"/>
      <c r="EI202" s="63"/>
      <c r="EJ202" s="63"/>
      <c r="EK202" s="63"/>
      <c r="EL202" s="63"/>
      <c r="EM202" s="63"/>
      <c r="EN202" s="63"/>
      <c r="EO202" s="63"/>
      <c r="EP202" s="63"/>
      <c r="EQ202" s="63"/>
      <c r="ER202" s="63"/>
      <c r="ES202" s="63"/>
      <c r="ET202" s="63"/>
      <c r="EU202" s="80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5"/>
      <c r="FH202" s="84"/>
      <c r="FI202" s="64"/>
      <c r="FJ202" s="8"/>
      <c r="FK202" s="48"/>
      <c r="FL202" s="48"/>
      <c r="FM202" s="48"/>
      <c r="FN202" s="48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FY202" s="48"/>
      <c r="FZ202" s="48"/>
      <c r="GA202" s="48"/>
      <c r="GB202" s="48"/>
      <c r="GC202" s="48"/>
      <c r="GD202" s="48"/>
      <c r="GE202" s="48"/>
      <c r="GF202" s="48"/>
      <c r="GG202" s="48"/>
      <c r="GH202" s="48"/>
      <c r="GI202" s="48"/>
      <c r="GJ202" s="8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77"/>
      <c r="GY202" s="77"/>
      <c r="GZ202" s="77"/>
    </row>
    <row r="203" spans="1:208">
      <c r="A203" s="48"/>
      <c r="B203" s="49"/>
      <c r="C203" s="50"/>
      <c r="D203" s="51"/>
      <c r="E203" s="50"/>
      <c r="F203" s="52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90"/>
      <c r="V203" s="91"/>
      <c r="W203" s="92"/>
      <c r="X203" s="92"/>
      <c r="Y203" s="92"/>
      <c r="Z203" s="91"/>
      <c r="AA203" s="93"/>
      <c r="AB203" s="99"/>
      <c r="AC203" s="54"/>
      <c r="AD203" s="54"/>
      <c r="AE203" s="54"/>
      <c r="AF203" s="54"/>
      <c r="AG203" s="54"/>
      <c r="AH203" s="54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113"/>
      <c r="BB203" s="110"/>
      <c r="BC203" s="110"/>
      <c r="BD203" s="110"/>
      <c r="BE203" s="110"/>
      <c r="BF203" s="110"/>
      <c r="BG203" s="110"/>
      <c r="BH203" s="110"/>
      <c r="BI203" s="113"/>
      <c r="BJ203" s="110"/>
      <c r="BK203" s="110"/>
      <c r="BL203" s="110"/>
      <c r="BM203" s="110"/>
      <c r="BN203" s="113"/>
      <c r="BO203" s="110"/>
      <c r="BP203" s="110"/>
      <c r="BQ203" s="110"/>
      <c r="BR203" s="110"/>
      <c r="BS203" s="110"/>
      <c r="BT203" s="110"/>
      <c r="BU203" s="110"/>
      <c r="BV203" s="110"/>
      <c r="BW203" s="110"/>
      <c r="BX203" s="113"/>
      <c r="BY203" s="110"/>
      <c r="BZ203" s="110"/>
      <c r="CA203" s="110"/>
      <c r="CB203" s="110"/>
      <c r="CC203" s="110"/>
      <c r="CD203" s="110"/>
      <c r="CE203" s="110"/>
      <c r="CF203" s="110"/>
      <c r="CG203" s="113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66"/>
      <c r="DA203" s="70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56"/>
      <c r="DR203" s="57"/>
      <c r="DS203" s="58"/>
      <c r="DT203" s="58"/>
      <c r="DU203" s="58"/>
      <c r="DV203" s="58"/>
      <c r="DW203" s="58"/>
      <c r="DX203" s="58"/>
      <c r="DY203" s="58"/>
      <c r="DZ203" s="59"/>
      <c r="EA203" s="60"/>
      <c r="EB203" s="61"/>
      <c r="EC203" s="62"/>
      <c r="ED203" s="2"/>
      <c r="EE203" s="63"/>
      <c r="EF203" s="63"/>
      <c r="EG203" s="63"/>
      <c r="EH203" s="63"/>
      <c r="EI203" s="63"/>
      <c r="EJ203" s="63"/>
      <c r="EK203" s="63"/>
      <c r="EL203" s="63"/>
      <c r="EM203" s="63"/>
      <c r="EN203" s="63"/>
      <c r="EO203" s="63"/>
      <c r="EP203" s="63"/>
      <c r="EQ203" s="63"/>
      <c r="ER203" s="63"/>
      <c r="ES203" s="63"/>
      <c r="ET203" s="63"/>
      <c r="EU203" s="80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5"/>
      <c r="FH203" s="84"/>
      <c r="FI203" s="64"/>
      <c r="FJ203" s="8"/>
      <c r="FK203" s="48"/>
      <c r="FL203" s="48"/>
      <c r="FM203" s="48"/>
      <c r="FN203" s="48"/>
      <c r="FO203" s="48"/>
      <c r="FP203" s="48"/>
      <c r="FQ203" s="48"/>
      <c r="FR203" s="48"/>
      <c r="FS203" s="48"/>
      <c r="FT203" s="48"/>
      <c r="FU203" s="48"/>
      <c r="FV203" s="48"/>
      <c r="FW203" s="48"/>
      <c r="FX203" s="48"/>
      <c r="FY203" s="48"/>
      <c r="FZ203" s="48"/>
      <c r="GA203" s="48"/>
      <c r="GB203" s="48"/>
      <c r="GC203" s="48"/>
      <c r="GD203" s="48"/>
      <c r="GE203" s="48"/>
      <c r="GF203" s="48"/>
      <c r="GG203" s="48"/>
      <c r="GH203" s="48"/>
      <c r="GI203" s="48"/>
      <c r="GJ203" s="8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77"/>
      <c r="GY203" s="77"/>
      <c r="GZ203" s="77"/>
    </row>
    <row r="204" spans="1:208">
      <c r="A204" s="48"/>
      <c r="B204" s="49"/>
      <c r="C204" s="50"/>
      <c r="D204" s="51"/>
      <c r="E204" s="50"/>
      <c r="F204" s="52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90"/>
      <c r="V204" s="91"/>
      <c r="W204" s="92"/>
      <c r="X204" s="92"/>
      <c r="Y204" s="92"/>
      <c r="Z204" s="91"/>
      <c r="AA204" s="93"/>
      <c r="AB204" s="99"/>
      <c r="AC204" s="54"/>
      <c r="AD204" s="54"/>
      <c r="AE204" s="54"/>
      <c r="AF204" s="54"/>
      <c r="AG204" s="54"/>
      <c r="AH204" s="54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113"/>
      <c r="BB204" s="110"/>
      <c r="BC204" s="110"/>
      <c r="BD204" s="110"/>
      <c r="BE204" s="110"/>
      <c r="BF204" s="110"/>
      <c r="BG204" s="110"/>
      <c r="BH204" s="110"/>
      <c r="BI204" s="113"/>
      <c r="BJ204" s="110"/>
      <c r="BK204" s="110"/>
      <c r="BL204" s="110"/>
      <c r="BM204" s="110"/>
      <c r="BN204" s="113"/>
      <c r="BO204" s="110"/>
      <c r="BP204" s="110"/>
      <c r="BQ204" s="110"/>
      <c r="BR204" s="110"/>
      <c r="BS204" s="110"/>
      <c r="BT204" s="110"/>
      <c r="BU204" s="110"/>
      <c r="BV204" s="110"/>
      <c r="BW204" s="110"/>
      <c r="BX204" s="113"/>
      <c r="BY204" s="110"/>
      <c r="BZ204" s="110"/>
      <c r="CA204" s="110"/>
      <c r="CB204" s="110"/>
      <c r="CC204" s="110"/>
      <c r="CD204" s="110"/>
      <c r="CE204" s="110"/>
      <c r="CF204" s="110"/>
      <c r="CG204" s="113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66"/>
      <c r="DA204" s="70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56"/>
      <c r="DR204" s="57"/>
      <c r="DS204" s="58"/>
      <c r="DT204" s="58"/>
      <c r="DU204" s="58"/>
      <c r="DV204" s="58"/>
      <c r="DW204" s="58"/>
      <c r="DX204" s="58"/>
      <c r="DY204" s="58"/>
      <c r="DZ204" s="59"/>
      <c r="EA204" s="60"/>
      <c r="EB204" s="61"/>
      <c r="EC204" s="62"/>
      <c r="ED204" s="2"/>
      <c r="EE204" s="63"/>
      <c r="EF204" s="63"/>
      <c r="EG204" s="63"/>
      <c r="EH204" s="63"/>
      <c r="EI204" s="63"/>
      <c r="EJ204" s="63"/>
      <c r="EK204" s="63"/>
      <c r="EL204" s="63"/>
      <c r="EM204" s="63"/>
      <c r="EN204" s="63"/>
      <c r="EO204" s="63"/>
      <c r="EP204" s="63"/>
      <c r="EQ204" s="63"/>
      <c r="ER204" s="63"/>
      <c r="ES204" s="63"/>
      <c r="ET204" s="63"/>
      <c r="EU204" s="80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5"/>
      <c r="FH204" s="84"/>
      <c r="FI204" s="64"/>
      <c r="FJ204" s="8"/>
      <c r="FK204" s="48"/>
      <c r="FL204" s="48"/>
      <c r="FM204" s="48"/>
      <c r="FN204" s="48"/>
      <c r="FO204" s="48"/>
      <c r="FP204" s="48"/>
      <c r="FQ204" s="48"/>
      <c r="FR204" s="48"/>
      <c r="FS204" s="48"/>
      <c r="FT204" s="48"/>
      <c r="FU204" s="48"/>
      <c r="FV204" s="48"/>
      <c r="FW204" s="48"/>
      <c r="FX204" s="48"/>
      <c r="FY204" s="48"/>
      <c r="FZ204" s="48"/>
      <c r="GA204" s="48"/>
      <c r="GB204" s="48"/>
      <c r="GC204" s="48"/>
      <c r="GD204" s="48"/>
      <c r="GE204" s="48"/>
      <c r="GF204" s="48"/>
      <c r="GG204" s="48"/>
      <c r="GH204" s="48"/>
      <c r="GI204" s="48"/>
      <c r="GJ204" s="8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77"/>
      <c r="GY204" s="77"/>
      <c r="GZ204" s="77"/>
    </row>
    <row r="205" spans="1:208">
      <c r="A205" s="48"/>
      <c r="B205" s="49"/>
      <c r="C205" s="50"/>
      <c r="D205" s="51"/>
      <c r="E205" s="50"/>
      <c r="F205" s="52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90"/>
      <c r="V205" s="91"/>
      <c r="W205" s="92"/>
      <c r="X205" s="92"/>
      <c r="Y205" s="92"/>
      <c r="Z205" s="91"/>
      <c r="AA205" s="93"/>
      <c r="AB205" s="99"/>
      <c r="AC205" s="54"/>
      <c r="AD205" s="54"/>
      <c r="AE205" s="54"/>
      <c r="AF205" s="54"/>
      <c r="AG205" s="54"/>
      <c r="AH205" s="54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113"/>
      <c r="BB205" s="110"/>
      <c r="BC205" s="110"/>
      <c r="BD205" s="110"/>
      <c r="BE205" s="110"/>
      <c r="BF205" s="110"/>
      <c r="BG205" s="110"/>
      <c r="BH205" s="110"/>
      <c r="BI205" s="113"/>
      <c r="BJ205" s="110"/>
      <c r="BK205" s="110"/>
      <c r="BL205" s="110"/>
      <c r="BM205" s="110"/>
      <c r="BN205" s="113"/>
      <c r="BO205" s="110"/>
      <c r="BP205" s="110"/>
      <c r="BQ205" s="110"/>
      <c r="BR205" s="110"/>
      <c r="BS205" s="110"/>
      <c r="BT205" s="110"/>
      <c r="BU205" s="110"/>
      <c r="BV205" s="110"/>
      <c r="BW205" s="110"/>
      <c r="BX205" s="113"/>
      <c r="BY205" s="110"/>
      <c r="BZ205" s="110"/>
      <c r="CA205" s="110"/>
      <c r="CB205" s="110"/>
      <c r="CC205" s="110"/>
      <c r="CD205" s="110"/>
      <c r="CE205" s="110"/>
      <c r="CF205" s="110"/>
      <c r="CG205" s="113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66"/>
      <c r="DA205" s="70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56"/>
      <c r="DR205" s="57"/>
      <c r="DS205" s="58"/>
      <c r="DT205" s="58"/>
      <c r="DU205" s="58"/>
      <c r="DV205" s="58"/>
      <c r="DW205" s="58"/>
      <c r="DX205" s="58"/>
      <c r="DY205" s="58"/>
      <c r="DZ205" s="59"/>
      <c r="EA205" s="60"/>
      <c r="EB205" s="61"/>
      <c r="EC205" s="62"/>
      <c r="ED205" s="2"/>
      <c r="EE205" s="63"/>
      <c r="EF205" s="63"/>
      <c r="EG205" s="63"/>
      <c r="EH205" s="63"/>
      <c r="EI205" s="63"/>
      <c r="EJ205" s="63"/>
      <c r="EK205" s="63"/>
      <c r="EL205" s="63"/>
      <c r="EM205" s="63"/>
      <c r="EN205" s="63"/>
      <c r="EO205" s="63"/>
      <c r="EP205" s="63"/>
      <c r="EQ205" s="63"/>
      <c r="ER205" s="63"/>
      <c r="ES205" s="63"/>
      <c r="ET205" s="63"/>
      <c r="EU205" s="80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5"/>
      <c r="FH205" s="84"/>
      <c r="FI205" s="64"/>
      <c r="FJ205" s="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8"/>
      <c r="GG205" s="48"/>
      <c r="GH205" s="48"/>
      <c r="GI205" s="48"/>
      <c r="GJ205" s="8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77"/>
      <c r="GY205" s="77"/>
      <c r="GZ205" s="77"/>
    </row>
    <row r="206" spans="1:208">
      <c r="A206" s="48"/>
      <c r="B206" s="49"/>
      <c r="C206" s="50"/>
      <c r="D206" s="51"/>
      <c r="E206" s="50"/>
      <c r="F206" s="52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90"/>
      <c r="V206" s="91"/>
      <c r="W206" s="92"/>
      <c r="X206" s="92"/>
      <c r="Y206" s="92"/>
      <c r="Z206" s="91"/>
      <c r="AA206" s="93"/>
      <c r="AB206" s="99"/>
      <c r="AC206" s="54"/>
      <c r="AD206" s="54"/>
      <c r="AE206" s="54"/>
      <c r="AF206" s="54"/>
      <c r="AG206" s="54"/>
      <c r="AH206" s="54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113"/>
      <c r="BB206" s="110"/>
      <c r="BC206" s="110"/>
      <c r="BD206" s="110"/>
      <c r="BE206" s="110"/>
      <c r="BF206" s="110"/>
      <c r="BG206" s="110"/>
      <c r="BH206" s="110"/>
      <c r="BI206" s="113"/>
      <c r="BJ206" s="110"/>
      <c r="BK206" s="110"/>
      <c r="BL206" s="110"/>
      <c r="BM206" s="110"/>
      <c r="BN206" s="113"/>
      <c r="BO206" s="110"/>
      <c r="BP206" s="110"/>
      <c r="BQ206" s="110"/>
      <c r="BR206" s="110"/>
      <c r="BS206" s="110"/>
      <c r="BT206" s="110"/>
      <c r="BU206" s="110"/>
      <c r="BV206" s="110"/>
      <c r="BW206" s="110"/>
      <c r="BX206" s="113"/>
      <c r="BY206" s="110"/>
      <c r="BZ206" s="110"/>
      <c r="CA206" s="110"/>
      <c r="CB206" s="110"/>
      <c r="CC206" s="110"/>
      <c r="CD206" s="110"/>
      <c r="CE206" s="110"/>
      <c r="CF206" s="110"/>
      <c r="CG206" s="113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66"/>
      <c r="DA206" s="70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56"/>
      <c r="DR206" s="57"/>
      <c r="DS206" s="58"/>
      <c r="DT206" s="58"/>
      <c r="DU206" s="58"/>
      <c r="DV206" s="58"/>
      <c r="DW206" s="58"/>
      <c r="DX206" s="58"/>
      <c r="DY206" s="58"/>
      <c r="DZ206" s="59"/>
      <c r="EA206" s="60"/>
      <c r="EB206" s="61"/>
      <c r="EC206" s="62"/>
      <c r="ED206" s="2"/>
      <c r="EE206" s="63"/>
      <c r="EF206" s="63"/>
      <c r="EG206" s="63"/>
      <c r="EH206" s="63"/>
      <c r="EI206" s="63"/>
      <c r="EJ206" s="63"/>
      <c r="EK206" s="63"/>
      <c r="EL206" s="63"/>
      <c r="EM206" s="63"/>
      <c r="EN206" s="63"/>
      <c r="EO206" s="63"/>
      <c r="EP206" s="63"/>
      <c r="EQ206" s="63"/>
      <c r="ER206" s="63"/>
      <c r="ES206" s="63"/>
      <c r="ET206" s="63"/>
      <c r="EU206" s="80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5"/>
      <c r="FH206" s="84"/>
      <c r="FI206" s="64"/>
      <c r="FJ206" s="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FY206" s="48"/>
      <c r="FZ206" s="48"/>
      <c r="GA206" s="48"/>
      <c r="GB206" s="48"/>
      <c r="GC206" s="48"/>
      <c r="GD206" s="48"/>
      <c r="GE206" s="48"/>
      <c r="GF206" s="48"/>
      <c r="GG206" s="48"/>
      <c r="GH206" s="48"/>
      <c r="GI206" s="48"/>
      <c r="GJ206" s="8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77"/>
      <c r="GY206" s="77"/>
      <c r="GZ206" s="77"/>
    </row>
    <row r="207" spans="1:208">
      <c r="A207" s="48"/>
      <c r="B207" s="49"/>
      <c r="C207" s="50"/>
      <c r="D207" s="51"/>
      <c r="E207" s="50"/>
      <c r="F207" s="52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90"/>
      <c r="V207" s="91"/>
      <c r="W207" s="92"/>
      <c r="X207" s="92"/>
      <c r="Y207" s="92"/>
      <c r="Z207" s="91"/>
      <c r="AA207" s="93"/>
      <c r="AB207" s="99"/>
      <c r="AC207" s="54"/>
      <c r="AD207" s="54"/>
      <c r="AE207" s="54"/>
      <c r="AF207" s="54"/>
      <c r="AG207" s="54"/>
      <c r="AH207" s="54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113"/>
      <c r="BB207" s="110"/>
      <c r="BC207" s="110"/>
      <c r="BD207" s="110"/>
      <c r="BE207" s="110"/>
      <c r="BF207" s="110"/>
      <c r="BG207" s="110"/>
      <c r="BH207" s="110"/>
      <c r="BI207" s="113"/>
      <c r="BJ207" s="110"/>
      <c r="BK207" s="110"/>
      <c r="BL207" s="110"/>
      <c r="BM207" s="110"/>
      <c r="BN207" s="113"/>
      <c r="BO207" s="110"/>
      <c r="BP207" s="110"/>
      <c r="BQ207" s="110"/>
      <c r="BR207" s="110"/>
      <c r="BS207" s="110"/>
      <c r="BT207" s="110"/>
      <c r="BU207" s="110"/>
      <c r="BV207" s="110"/>
      <c r="BW207" s="110"/>
      <c r="BX207" s="113"/>
      <c r="BY207" s="110"/>
      <c r="BZ207" s="110"/>
      <c r="CA207" s="110"/>
      <c r="CB207" s="110"/>
      <c r="CC207" s="110"/>
      <c r="CD207" s="110"/>
      <c r="CE207" s="110"/>
      <c r="CF207" s="110"/>
      <c r="CG207" s="113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66"/>
      <c r="DA207" s="70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56"/>
      <c r="DR207" s="57"/>
      <c r="DS207" s="58"/>
      <c r="DT207" s="58"/>
      <c r="DU207" s="58"/>
      <c r="DV207" s="58"/>
      <c r="DW207" s="58"/>
      <c r="DX207" s="58"/>
      <c r="DY207" s="58"/>
      <c r="DZ207" s="59"/>
      <c r="EA207" s="60"/>
      <c r="EB207" s="61"/>
      <c r="EC207" s="62"/>
      <c r="ED207" s="2"/>
      <c r="EE207" s="63"/>
      <c r="EF207" s="63"/>
      <c r="EG207" s="63"/>
      <c r="EH207" s="63"/>
      <c r="EI207" s="63"/>
      <c r="EJ207" s="63"/>
      <c r="EK207" s="63"/>
      <c r="EL207" s="63"/>
      <c r="EM207" s="63"/>
      <c r="EN207" s="63"/>
      <c r="EO207" s="63"/>
      <c r="EP207" s="63"/>
      <c r="EQ207" s="63"/>
      <c r="ER207" s="63"/>
      <c r="ES207" s="63"/>
      <c r="ET207" s="63"/>
      <c r="EU207" s="80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5"/>
      <c r="FH207" s="84"/>
      <c r="FI207" s="64"/>
      <c r="FJ207" s="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FY207" s="48"/>
      <c r="FZ207" s="48"/>
      <c r="GA207" s="48"/>
      <c r="GB207" s="48"/>
      <c r="GC207" s="48"/>
      <c r="GD207" s="48"/>
      <c r="GE207" s="48"/>
      <c r="GF207" s="48"/>
      <c r="GG207" s="48"/>
      <c r="GH207" s="48"/>
      <c r="GI207" s="48"/>
      <c r="GJ207" s="8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77"/>
      <c r="GY207" s="77"/>
      <c r="GZ207" s="77"/>
    </row>
    <row r="208" spans="1:208">
      <c r="A208" s="48"/>
      <c r="B208" s="49"/>
      <c r="C208" s="50"/>
      <c r="D208" s="51"/>
      <c r="E208" s="50"/>
      <c r="F208" s="52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90"/>
      <c r="V208" s="91"/>
      <c r="W208" s="92"/>
      <c r="X208" s="92"/>
      <c r="Y208" s="92"/>
      <c r="Z208" s="91"/>
      <c r="AA208" s="93"/>
      <c r="AB208" s="99"/>
      <c r="AC208" s="54"/>
      <c r="AD208" s="54"/>
      <c r="AE208" s="54"/>
      <c r="AF208" s="54"/>
      <c r="AG208" s="54"/>
      <c r="AH208" s="54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113"/>
      <c r="BB208" s="110"/>
      <c r="BC208" s="110"/>
      <c r="BD208" s="110"/>
      <c r="BE208" s="110"/>
      <c r="BF208" s="110"/>
      <c r="BG208" s="110"/>
      <c r="BH208" s="110"/>
      <c r="BI208" s="113"/>
      <c r="BJ208" s="110"/>
      <c r="BK208" s="110"/>
      <c r="BL208" s="110"/>
      <c r="BM208" s="110"/>
      <c r="BN208" s="113"/>
      <c r="BO208" s="110"/>
      <c r="BP208" s="110"/>
      <c r="BQ208" s="110"/>
      <c r="BR208" s="110"/>
      <c r="BS208" s="110"/>
      <c r="BT208" s="110"/>
      <c r="BU208" s="110"/>
      <c r="BV208" s="110"/>
      <c r="BW208" s="110"/>
      <c r="BX208" s="113"/>
      <c r="BY208" s="110"/>
      <c r="BZ208" s="110"/>
      <c r="CA208" s="110"/>
      <c r="CB208" s="110"/>
      <c r="CC208" s="110"/>
      <c r="CD208" s="110"/>
      <c r="CE208" s="110"/>
      <c r="CF208" s="110"/>
      <c r="CG208" s="113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66"/>
      <c r="DA208" s="70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56"/>
      <c r="DR208" s="57"/>
      <c r="DS208" s="58"/>
      <c r="DT208" s="58"/>
      <c r="DU208" s="58"/>
      <c r="DV208" s="58"/>
      <c r="DW208" s="58"/>
      <c r="DX208" s="58"/>
      <c r="DY208" s="58"/>
      <c r="DZ208" s="59"/>
      <c r="EA208" s="60"/>
      <c r="EB208" s="61"/>
      <c r="EC208" s="62"/>
      <c r="ED208" s="2"/>
      <c r="EE208" s="63"/>
      <c r="EF208" s="63"/>
      <c r="EG208" s="63"/>
      <c r="EH208" s="63"/>
      <c r="EI208" s="63"/>
      <c r="EJ208" s="63"/>
      <c r="EK208" s="63"/>
      <c r="EL208" s="63"/>
      <c r="EM208" s="63"/>
      <c r="EN208" s="63"/>
      <c r="EO208" s="63"/>
      <c r="EP208" s="63"/>
      <c r="EQ208" s="63"/>
      <c r="ER208" s="63"/>
      <c r="ES208" s="63"/>
      <c r="ET208" s="63"/>
      <c r="EU208" s="80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5"/>
      <c r="FH208" s="84"/>
      <c r="FI208" s="64"/>
      <c r="FJ208" s="8"/>
      <c r="FK208" s="48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8"/>
      <c r="GG208" s="48"/>
      <c r="GH208" s="48"/>
      <c r="GI208" s="48"/>
      <c r="GJ208" s="8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77"/>
      <c r="GY208" s="77"/>
      <c r="GZ208" s="77"/>
    </row>
    <row r="209" spans="1:208">
      <c r="A209" s="48"/>
      <c r="B209" s="49"/>
      <c r="C209" s="50"/>
      <c r="D209" s="51"/>
      <c r="E209" s="50"/>
      <c r="F209" s="52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90"/>
      <c r="V209" s="91"/>
      <c r="W209" s="92"/>
      <c r="X209" s="92"/>
      <c r="Y209" s="92"/>
      <c r="Z209" s="91"/>
      <c r="AA209" s="93"/>
      <c r="AB209" s="99"/>
      <c r="AC209" s="54"/>
      <c r="AD209" s="54"/>
      <c r="AE209" s="54"/>
      <c r="AF209" s="54"/>
      <c r="AG209" s="54"/>
      <c r="AH209" s="54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113"/>
      <c r="BB209" s="110"/>
      <c r="BC209" s="110"/>
      <c r="BD209" s="110"/>
      <c r="BE209" s="110"/>
      <c r="BF209" s="110"/>
      <c r="BG209" s="110"/>
      <c r="BH209" s="110"/>
      <c r="BI209" s="113"/>
      <c r="BJ209" s="110"/>
      <c r="BK209" s="110"/>
      <c r="BL209" s="110"/>
      <c r="BM209" s="110"/>
      <c r="BN209" s="113"/>
      <c r="BO209" s="110"/>
      <c r="BP209" s="110"/>
      <c r="BQ209" s="110"/>
      <c r="BR209" s="110"/>
      <c r="BS209" s="110"/>
      <c r="BT209" s="110"/>
      <c r="BU209" s="110"/>
      <c r="BV209" s="110"/>
      <c r="BW209" s="110"/>
      <c r="BX209" s="113"/>
      <c r="BY209" s="110"/>
      <c r="BZ209" s="110"/>
      <c r="CA209" s="110"/>
      <c r="CB209" s="110"/>
      <c r="CC209" s="110"/>
      <c r="CD209" s="110"/>
      <c r="CE209" s="110"/>
      <c r="CF209" s="110"/>
      <c r="CG209" s="113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66"/>
      <c r="DA209" s="70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56"/>
      <c r="DR209" s="57"/>
      <c r="DS209" s="58"/>
      <c r="DT209" s="58"/>
      <c r="DU209" s="58"/>
      <c r="DV209" s="58"/>
      <c r="DW209" s="58"/>
      <c r="DX209" s="58"/>
      <c r="DY209" s="58"/>
      <c r="DZ209" s="59"/>
      <c r="EA209" s="60"/>
      <c r="EB209" s="61"/>
      <c r="EC209" s="62"/>
      <c r="ED209" s="2"/>
      <c r="EE209" s="63"/>
      <c r="EF209" s="63"/>
      <c r="EG209" s="63"/>
      <c r="EH209" s="63"/>
      <c r="EI209" s="63"/>
      <c r="EJ209" s="63"/>
      <c r="EK209" s="63"/>
      <c r="EL209" s="63"/>
      <c r="EM209" s="63"/>
      <c r="EN209" s="63"/>
      <c r="EO209" s="63"/>
      <c r="EP209" s="63"/>
      <c r="EQ209" s="63"/>
      <c r="ER209" s="63"/>
      <c r="ES209" s="63"/>
      <c r="ET209" s="63"/>
      <c r="EU209" s="80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5"/>
      <c r="FH209" s="84"/>
      <c r="FI209" s="64"/>
      <c r="FJ209" s="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FY209" s="48"/>
      <c r="FZ209" s="48"/>
      <c r="GA209" s="48"/>
      <c r="GB209" s="48"/>
      <c r="GC209" s="48"/>
      <c r="GD209" s="48"/>
      <c r="GE209" s="48"/>
      <c r="GF209" s="48"/>
      <c r="GG209" s="48"/>
      <c r="GH209" s="48"/>
      <c r="GI209" s="48"/>
      <c r="GJ209" s="8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77"/>
      <c r="GY209" s="77"/>
      <c r="GZ209" s="77"/>
    </row>
    <row r="210" spans="1:208">
      <c r="A210" s="48"/>
      <c r="B210" s="49"/>
      <c r="C210" s="50"/>
      <c r="D210" s="51"/>
      <c r="E210" s="50"/>
      <c r="F210" s="52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90"/>
      <c r="V210" s="91"/>
      <c r="W210" s="92"/>
      <c r="X210" s="92"/>
      <c r="Y210" s="92"/>
      <c r="Z210" s="91"/>
      <c r="AA210" s="93"/>
      <c r="AB210" s="99"/>
      <c r="AC210" s="54"/>
      <c r="AD210" s="54"/>
      <c r="AE210" s="54"/>
      <c r="AF210" s="54"/>
      <c r="AG210" s="54"/>
      <c r="AH210" s="54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113"/>
      <c r="BB210" s="110"/>
      <c r="BC210" s="110"/>
      <c r="BD210" s="110"/>
      <c r="BE210" s="110"/>
      <c r="BF210" s="110"/>
      <c r="BG210" s="110"/>
      <c r="BH210" s="110"/>
      <c r="BI210" s="113"/>
      <c r="BJ210" s="110"/>
      <c r="BK210" s="110"/>
      <c r="BL210" s="110"/>
      <c r="BM210" s="110"/>
      <c r="BN210" s="113"/>
      <c r="BO210" s="110"/>
      <c r="BP210" s="110"/>
      <c r="BQ210" s="110"/>
      <c r="BR210" s="110"/>
      <c r="BS210" s="110"/>
      <c r="BT210" s="110"/>
      <c r="BU210" s="110"/>
      <c r="BV210" s="110"/>
      <c r="BW210" s="110"/>
      <c r="BX210" s="113"/>
      <c r="BY210" s="110"/>
      <c r="BZ210" s="110"/>
      <c r="CA210" s="110"/>
      <c r="CB210" s="110"/>
      <c r="CC210" s="110"/>
      <c r="CD210" s="110"/>
      <c r="CE210" s="110"/>
      <c r="CF210" s="110"/>
      <c r="CG210" s="113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66"/>
      <c r="DA210" s="70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56"/>
      <c r="DR210" s="57"/>
      <c r="DS210" s="58"/>
      <c r="DT210" s="58"/>
      <c r="DU210" s="58"/>
      <c r="DV210" s="58"/>
      <c r="DW210" s="58"/>
      <c r="DX210" s="58"/>
      <c r="DY210" s="58"/>
      <c r="DZ210" s="59"/>
      <c r="EA210" s="60"/>
      <c r="EB210" s="61"/>
      <c r="EC210" s="62"/>
      <c r="ED210" s="2"/>
      <c r="EE210" s="63"/>
      <c r="EF210" s="63"/>
      <c r="EG210" s="63"/>
      <c r="EH210" s="63"/>
      <c r="EI210" s="63"/>
      <c r="EJ210" s="63"/>
      <c r="EK210" s="63"/>
      <c r="EL210" s="63"/>
      <c r="EM210" s="63"/>
      <c r="EN210" s="63"/>
      <c r="EO210" s="63"/>
      <c r="EP210" s="63"/>
      <c r="EQ210" s="63"/>
      <c r="ER210" s="63"/>
      <c r="ES210" s="63"/>
      <c r="ET210" s="63"/>
      <c r="EU210" s="80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5"/>
      <c r="FH210" s="84"/>
      <c r="FI210" s="64"/>
      <c r="FJ210" s="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FY210" s="48"/>
      <c r="FZ210" s="48"/>
      <c r="GA210" s="48"/>
      <c r="GB210" s="48"/>
      <c r="GC210" s="48"/>
      <c r="GD210" s="48"/>
      <c r="GE210" s="48"/>
      <c r="GF210" s="48"/>
      <c r="GG210" s="48"/>
      <c r="GH210" s="48"/>
      <c r="GI210" s="48"/>
      <c r="GJ210" s="8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77"/>
      <c r="GY210" s="77"/>
      <c r="GZ210" s="77"/>
    </row>
    <row r="211" spans="1:208">
      <c r="A211" s="48"/>
      <c r="B211" s="49"/>
      <c r="C211" s="50"/>
      <c r="D211" s="51"/>
      <c r="E211" s="50"/>
      <c r="F211" s="52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90"/>
      <c r="V211" s="91"/>
      <c r="W211" s="92"/>
      <c r="X211" s="92"/>
      <c r="Y211" s="92"/>
      <c r="Z211" s="91"/>
      <c r="AA211" s="93"/>
      <c r="AB211" s="99"/>
      <c r="AC211" s="54"/>
      <c r="AD211" s="54"/>
      <c r="AE211" s="54"/>
      <c r="AF211" s="54"/>
      <c r="AG211" s="54"/>
      <c r="AH211" s="54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113"/>
      <c r="BB211" s="110"/>
      <c r="BC211" s="110"/>
      <c r="BD211" s="110"/>
      <c r="BE211" s="110"/>
      <c r="BF211" s="110"/>
      <c r="BG211" s="110"/>
      <c r="BH211" s="110"/>
      <c r="BI211" s="113"/>
      <c r="BJ211" s="110"/>
      <c r="BK211" s="110"/>
      <c r="BL211" s="110"/>
      <c r="BM211" s="110"/>
      <c r="BN211" s="113"/>
      <c r="BO211" s="110"/>
      <c r="BP211" s="110"/>
      <c r="BQ211" s="110"/>
      <c r="BR211" s="110"/>
      <c r="BS211" s="110"/>
      <c r="BT211" s="110"/>
      <c r="BU211" s="110"/>
      <c r="BV211" s="110"/>
      <c r="BW211" s="110"/>
      <c r="BX211" s="113"/>
      <c r="BY211" s="110"/>
      <c r="BZ211" s="110"/>
      <c r="CA211" s="110"/>
      <c r="CB211" s="110"/>
      <c r="CC211" s="110"/>
      <c r="CD211" s="110"/>
      <c r="CE211" s="110"/>
      <c r="CF211" s="110"/>
      <c r="CG211" s="113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66"/>
      <c r="DA211" s="70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56"/>
      <c r="DR211" s="57"/>
      <c r="DS211" s="58"/>
      <c r="DT211" s="58"/>
      <c r="DU211" s="58"/>
      <c r="DV211" s="58"/>
      <c r="DW211" s="58"/>
      <c r="DX211" s="58"/>
      <c r="DY211" s="58"/>
      <c r="DZ211" s="59"/>
      <c r="EA211" s="60"/>
      <c r="EB211" s="61"/>
      <c r="EC211" s="62"/>
      <c r="ED211" s="2"/>
      <c r="EE211" s="63"/>
      <c r="EF211" s="63"/>
      <c r="EG211" s="63"/>
      <c r="EH211" s="63"/>
      <c r="EI211" s="63"/>
      <c r="EJ211" s="63"/>
      <c r="EK211" s="63"/>
      <c r="EL211" s="63"/>
      <c r="EM211" s="63"/>
      <c r="EN211" s="63"/>
      <c r="EO211" s="63"/>
      <c r="EP211" s="63"/>
      <c r="EQ211" s="63"/>
      <c r="ER211" s="63"/>
      <c r="ES211" s="63"/>
      <c r="ET211" s="63"/>
      <c r="EU211" s="80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5"/>
      <c r="FH211" s="84"/>
      <c r="FI211" s="64"/>
      <c r="FJ211" s="8"/>
      <c r="FK211" s="48"/>
      <c r="FL211" s="48"/>
      <c r="FM211" s="48"/>
      <c r="FN211" s="48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8"/>
      <c r="GG211" s="48"/>
      <c r="GH211" s="48"/>
      <c r="GI211" s="48"/>
      <c r="GJ211" s="8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77"/>
      <c r="GY211" s="77"/>
      <c r="GZ211" s="77"/>
    </row>
    <row r="212" spans="1:208">
      <c r="A212" s="48"/>
      <c r="B212" s="49"/>
      <c r="C212" s="50"/>
      <c r="D212" s="51"/>
      <c r="E212" s="50"/>
      <c r="F212" s="52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90"/>
      <c r="V212" s="91"/>
      <c r="W212" s="92"/>
      <c r="X212" s="92"/>
      <c r="Y212" s="92"/>
      <c r="Z212" s="91"/>
      <c r="AA212" s="93"/>
      <c r="AB212" s="99"/>
      <c r="AC212" s="54"/>
      <c r="AD212" s="54"/>
      <c r="AE212" s="54"/>
      <c r="AF212" s="54"/>
      <c r="AG212" s="54"/>
      <c r="AH212" s="54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113"/>
      <c r="BB212" s="110"/>
      <c r="BC212" s="110"/>
      <c r="BD212" s="110"/>
      <c r="BE212" s="110"/>
      <c r="BF212" s="110"/>
      <c r="BG212" s="110"/>
      <c r="BH212" s="110"/>
      <c r="BI212" s="113"/>
      <c r="BJ212" s="110"/>
      <c r="BK212" s="110"/>
      <c r="BL212" s="110"/>
      <c r="BM212" s="110"/>
      <c r="BN212" s="113"/>
      <c r="BO212" s="110"/>
      <c r="BP212" s="110"/>
      <c r="BQ212" s="110"/>
      <c r="BR212" s="110"/>
      <c r="BS212" s="110"/>
      <c r="BT212" s="110"/>
      <c r="BU212" s="110"/>
      <c r="BV212" s="110"/>
      <c r="BW212" s="110"/>
      <c r="BX212" s="113"/>
      <c r="BY212" s="110"/>
      <c r="BZ212" s="110"/>
      <c r="CA212" s="110"/>
      <c r="CB212" s="110"/>
      <c r="CC212" s="110"/>
      <c r="CD212" s="110"/>
      <c r="CE212" s="110"/>
      <c r="CF212" s="110"/>
      <c r="CG212" s="113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66"/>
      <c r="DA212" s="70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56"/>
      <c r="DR212" s="57"/>
      <c r="DS212" s="58"/>
      <c r="DT212" s="58"/>
      <c r="DU212" s="58"/>
      <c r="DV212" s="58"/>
      <c r="DW212" s="58"/>
      <c r="DX212" s="58"/>
      <c r="DY212" s="58"/>
      <c r="DZ212" s="59"/>
      <c r="EA212" s="60"/>
      <c r="EB212" s="61"/>
      <c r="EC212" s="62"/>
      <c r="ED212" s="2"/>
      <c r="EE212" s="63"/>
      <c r="EF212" s="63"/>
      <c r="EG212" s="63"/>
      <c r="EH212" s="63"/>
      <c r="EI212" s="63"/>
      <c r="EJ212" s="63"/>
      <c r="EK212" s="63"/>
      <c r="EL212" s="63"/>
      <c r="EM212" s="63"/>
      <c r="EN212" s="63"/>
      <c r="EO212" s="63"/>
      <c r="EP212" s="63"/>
      <c r="EQ212" s="63"/>
      <c r="ER212" s="63"/>
      <c r="ES212" s="63"/>
      <c r="ET212" s="63"/>
      <c r="EU212" s="80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5"/>
      <c r="FH212" s="84"/>
      <c r="FI212" s="64"/>
      <c r="FJ212" s="8"/>
      <c r="FK212" s="48"/>
      <c r="FL212" s="48"/>
      <c r="FM212" s="48"/>
      <c r="FN212" s="48"/>
      <c r="FO212" s="48"/>
      <c r="FP212" s="48"/>
      <c r="FQ212" s="48"/>
      <c r="FR212" s="48"/>
      <c r="FS212" s="48"/>
      <c r="FT212" s="48"/>
      <c r="FU212" s="48"/>
      <c r="FV212" s="48"/>
      <c r="FW212" s="48"/>
      <c r="FX212" s="48"/>
      <c r="FY212" s="48"/>
      <c r="FZ212" s="48"/>
      <c r="GA212" s="48"/>
      <c r="GB212" s="48"/>
      <c r="GC212" s="48"/>
      <c r="GD212" s="48"/>
      <c r="GE212" s="48"/>
      <c r="GF212" s="48"/>
      <c r="GG212" s="48"/>
      <c r="GH212" s="48"/>
      <c r="GI212" s="48"/>
      <c r="GJ212" s="8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77"/>
      <c r="GY212" s="77"/>
      <c r="GZ212" s="77"/>
    </row>
    <row r="213" spans="1:208">
      <c r="A213" s="48"/>
      <c r="B213" s="49"/>
      <c r="C213" s="50"/>
      <c r="D213" s="51"/>
      <c r="E213" s="50"/>
      <c r="F213" s="52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90"/>
      <c r="V213" s="91"/>
      <c r="W213" s="92"/>
      <c r="X213" s="92"/>
      <c r="Y213" s="92"/>
      <c r="Z213" s="91"/>
      <c r="AA213" s="93"/>
      <c r="AB213" s="99"/>
      <c r="AC213" s="54"/>
      <c r="AD213" s="54"/>
      <c r="AE213" s="54"/>
      <c r="AF213" s="54"/>
      <c r="AG213" s="54"/>
      <c r="AH213" s="54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113"/>
      <c r="BB213" s="110"/>
      <c r="BC213" s="110"/>
      <c r="BD213" s="110"/>
      <c r="BE213" s="110"/>
      <c r="BF213" s="110"/>
      <c r="BG213" s="110"/>
      <c r="BH213" s="110"/>
      <c r="BI213" s="113"/>
      <c r="BJ213" s="110"/>
      <c r="BK213" s="110"/>
      <c r="BL213" s="110"/>
      <c r="BM213" s="110"/>
      <c r="BN213" s="113"/>
      <c r="BO213" s="110"/>
      <c r="BP213" s="110"/>
      <c r="BQ213" s="110"/>
      <c r="BR213" s="110"/>
      <c r="BS213" s="110"/>
      <c r="BT213" s="110"/>
      <c r="BU213" s="110"/>
      <c r="BV213" s="110"/>
      <c r="BW213" s="110"/>
      <c r="BX213" s="113"/>
      <c r="BY213" s="110"/>
      <c r="BZ213" s="110"/>
      <c r="CA213" s="110"/>
      <c r="CB213" s="110"/>
      <c r="CC213" s="110"/>
      <c r="CD213" s="110"/>
      <c r="CE213" s="110"/>
      <c r="CF213" s="110"/>
      <c r="CG213" s="113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66"/>
      <c r="DA213" s="70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56"/>
      <c r="DR213" s="57"/>
      <c r="DS213" s="58"/>
      <c r="DT213" s="58"/>
      <c r="DU213" s="58"/>
      <c r="DV213" s="58"/>
      <c r="DW213" s="58"/>
      <c r="DX213" s="58"/>
      <c r="DY213" s="58"/>
      <c r="DZ213" s="59"/>
      <c r="EA213" s="60"/>
      <c r="EB213" s="61"/>
      <c r="EC213" s="62"/>
      <c r="ED213" s="2"/>
      <c r="EE213" s="63"/>
      <c r="EF213" s="63"/>
      <c r="EG213" s="63"/>
      <c r="EH213" s="63"/>
      <c r="EI213" s="63"/>
      <c r="EJ213" s="63"/>
      <c r="EK213" s="63"/>
      <c r="EL213" s="63"/>
      <c r="EM213" s="63"/>
      <c r="EN213" s="63"/>
      <c r="EO213" s="63"/>
      <c r="EP213" s="63"/>
      <c r="EQ213" s="63"/>
      <c r="ER213" s="63"/>
      <c r="ES213" s="63"/>
      <c r="ET213" s="63"/>
      <c r="EU213" s="80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5"/>
      <c r="FH213" s="84"/>
      <c r="FI213" s="64"/>
      <c r="FJ213" s="8"/>
      <c r="FK213" s="48"/>
      <c r="FL213" s="48"/>
      <c r="FM213" s="48"/>
      <c r="FN213" s="48"/>
      <c r="FO213" s="48"/>
      <c r="FP213" s="48"/>
      <c r="FQ213" s="48"/>
      <c r="FR213" s="48"/>
      <c r="FS213" s="48"/>
      <c r="FT213" s="48"/>
      <c r="FU213" s="48"/>
      <c r="FV213" s="48"/>
      <c r="FW213" s="48"/>
      <c r="FX213" s="48"/>
      <c r="FY213" s="48"/>
      <c r="FZ213" s="48"/>
      <c r="GA213" s="48"/>
      <c r="GB213" s="48"/>
      <c r="GC213" s="48"/>
      <c r="GD213" s="48"/>
      <c r="GE213" s="48"/>
      <c r="GF213" s="48"/>
      <c r="GG213" s="48"/>
      <c r="GH213" s="48"/>
      <c r="GI213" s="48"/>
      <c r="GJ213" s="8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77"/>
      <c r="GY213" s="77"/>
      <c r="GZ213" s="77"/>
    </row>
    <row r="214" spans="1:208">
      <c r="A214" s="48"/>
      <c r="B214" s="49"/>
      <c r="C214" s="50"/>
      <c r="D214" s="51"/>
      <c r="E214" s="50"/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90"/>
      <c r="V214" s="91"/>
      <c r="W214" s="92"/>
      <c r="X214" s="92"/>
      <c r="Y214" s="92"/>
      <c r="Z214" s="91"/>
      <c r="AA214" s="93"/>
      <c r="AB214" s="99"/>
      <c r="AC214" s="54"/>
      <c r="AD214" s="54"/>
      <c r="AE214" s="54"/>
      <c r="AF214" s="54"/>
      <c r="AG214" s="54"/>
      <c r="AH214" s="54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113"/>
      <c r="BB214" s="110"/>
      <c r="BC214" s="110"/>
      <c r="BD214" s="110"/>
      <c r="BE214" s="110"/>
      <c r="BF214" s="110"/>
      <c r="BG214" s="110"/>
      <c r="BH214" s="110"/>
      <c r="BI214" s="113"/>
      <c r="BJ214" s="110"/>
      <c r="BK214" s="110"/>
      <c r="BL214" s="110"/>
      <c r="BM214" s="110"/>
      <c r="BN214" s="113"/>
      <c r="BO214" s="110"/>
      <c r="BP214" s="110"/>
      <c r="BQ214" s="110"/>
      <c r="BR214" s="110"/>
      <c r="BS214" s="110"/>
      <c r="BT214" s="110"/>
      <c r="BU214" s="110"/>
      <c r="BV214" s="110"/>
      <c r="BW214" s="110"/>
      <c r="BX214" s="113"/>
      <c r="BY214" s="110"/>
      <c r="BZ214" s="110"/>
      <c r="CA214" s="110"/>
      <c r="CB214" s="110"/>
      <c r="CC214" s="110"/>
      <c r="CD214" s="110"/>
      <c r="CE214" s="110"/>
      <c r="CF214" s="110"/>
      <c r="CG214" s="113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66"/>
      <c r="DA214" s="70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56"/>
      <c r="DR214" s="57"/>
      <c r="DS214" s="58"/>
      <c r="DT214" s="58"/>
      <c r="DU214" s="58"/>
      <c r="DV214" s="58"/>
      <c r="DW214" s="58"/>
      <c r="DX214" s="58"/>
      <c r="DY214" s="58"/>
      <c r="DZ214" s="59"/>
      <c r="EA214" s="60"/>
      <c r="EB214" s="61"/>
      <c r="EC214" s="62"/>
      <c r="ED214" s="2"/>
      <c r="EE214" s="63"/>
      <c r="EF214" s="63"/>
      <c r="EG214" s="63"/>
      <c r="EH214" s="63"/>
      <c r="EI214" s="63"/>
      <c r="EJ214" s="63"/>
      <c r="EK214" s="63"/>
      <c r="EL214" s="63"/>
      <c r="EM214" s="63"/>
      <c r="EN214" s="63"/>
      <c r="EO214" s="63"/>
      <c r="EP214" s="63"/>
      <c r="EQ214" s="63"/>
      <c r="ER214" s="63"/>
      <c r="ES214" s="63"/>
      <c r="ET214" s="63"/>
      <c r="EU214" s="80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5"/>
      <c r="FH214" s="84"/>
      <c r="FI214" s="64"/>
      <c r="FJ214" s="8"/>
      <c r="FK214" s="48"/>
      <c r="FL214" s="48"/>
      <c r="FM214" s="48"/>
      <c r="FN214" s="48"/>
      <c r="FO214" s="48"/>
      <c r="FP214" s="48"/>
      <c r="FQ214" s="48"/>
      <c r="FR214" s="48"/>
      <c r="FS214" s="48"/>
      <c r="FT214" s="48"/>
      <c r="FU214" s="48"/>
      <c r="FV214" s="48"/>
      <c r="FW214" s="48"/>
      <c r="FX214" s="48"/>
      <c r="FY214" s="48"/>
      <c r="FZ214" s="48"/>
      <c r="GA214" s="48"/>
      <c r="GB214" s="48"/>
      <c r="GC214" s="48"/>
      <c r="GD214" s="48"/>
      <c r="GE214" s="48"/>
      <c r="GF214" s="48"/>
      <c r="GG214" s="48"/>
      <c r="GH214" s="48"/>
      <c r="GI214" s="48"/>
      <c r="GJ214" s="8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77"/>
      <c r="GY214" s="77"/>
      <c r="GZ214" s="77"/>
    </row>
    <row r="215" spans="1:208">
      <c r="A215" s="48"/>
      <c r="B215" s="49"/>
      <c r="C215" s="50"/>
      <c r="D215" s="51"/>
      <c r="E215" s="50"/>
      <c r="F215" s="52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90"/>
      <c r="V215" s="91"/>
      <c r="W215" s="92"/>
      <c r="X215" s="92"/>
      <c r="Y215" s="92"/>
      <c r="Z215" s="91"/>
      <c r="AA215" s="93"/>
      <c r="AB215" s="99"/>
      <c r="AC215" s="54"/>
      <c r="AD215" s="54"/>
      <c r="AE215" s="54"/>
      <c r="AF215" s="54"/>
      <c r="AG215" s="54"/>
      <c r="AH215" s="54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113"/>
      <c r="BB215" s="110"/>
      <c r="BC215" s="110"/>
      <c r="BD215" s="110"/>
      <c r="BE215" s="110"/>
      <c r="BF215" s="110"/>
      <c r="BG215" s="110"/>
      <c r="BH215" s="110"/>
      <c r="BI215" s="113"/>
      <c r="BJ215" s="110"/>
      <c r="BK215" s="110"/>
      <c r="BL215" s="110"/>
      <c r="BM215" s="110"/>
      <c r="BN215" s="113"/>
      <c r="BO215" s="110"/>
      <c r="BP215" s="110"/>
      <c r="BQ215" s="110"/>
      <c r="BR215" s="110"/>
      <c r="BS215" s="110"/>
      <c r="BT215" s="110"/>
      <c r="BU215" s="110"/>
      <c r="BV215" s="110"/>
      <c r="BW215" s="110"/>
      <c r="BX215" s="113"/>
      <c r="BY215" s="110"/>
      <c r="BZ215" s="110"/>
      <c r="CA215" s="110"/>
      <c r="CB215" s="110"/>
      <c r="CC215" s="110"/>
      <c r="CD215" s="110"/>
      <c r="CE215" s="110"/>
      <c r="CF215" s="110"/>
      <c r="CG215" s="113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66"/>
      <c r="DA215" s="70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56"/>
      <c r="DR215" s="57"/>
      <c r="DS215" s="58"/>
      <c r="DT215" s="58"/>
      <c r="DU215" s="58"/>
      <c r="DV215" s="58"/>
      <c r="DW215" s="58"/>
      <c r="DX215" s="58"/>
      <c r="DY215" s="58"/>
      <c r="DZ215" s="59"/>
      <c r="EA215" s="60"/>
      <c r="EB215" s="61"/>
      <c r="EC215" s="62"/>
      <c r="ED215" s="2"/>
      <c r="EE215" s="63"/>
      <c r="EF215" s="63"/>
      <c r="EG215" s="63"/>
      <c r="EH215" s="63"/>
      <c r="EI215" s="63"/>
      <c r="EJ215" s="63"/>
      <c r="EK215" s="63"/>
      <c r="EL215" s="63"/>
      <c r="EM215" s="63"/>
      <c r="EN215" s="63"/>
      <c r="EO215" s="63"/>
      <c r="EP215" s="63"/>
      <c r="EQ215" s="63"/>
      <c r="ER215" s="63"/>
      <c r="ES215" s="63"/>
      <c r="ET215" s="63"/>
      <c r="EU215" s="80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5"/>
      <c r="FH215" s="84"/>
      <c r="FI215" s="64"/>
      <c r="FJ215" s="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8"/>
      <c r="GC215" s="48"/>
      <c r="GD215" s="48"/>
      <c r="GE215" s="48"/>
      <c r="GF215" s="48"/>
      <c r="GG215" s="48"/>
      <c r="GH215" s="48"/>
      <c r="GI215" s="48"/>
      <c r="GJ215" s="8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77"/>
      <c r="GY215" s="77"/>
      <c r="GZ215" s="77"/>
    </row>
    <row r="216" spans="1:208">
      <c r="A216" s="48"/>
      <c r="B216" s="49"/>
      <c r="C216" s="50"/>
      <c r="D216" s="51"/>
      <c r="E216" s="50"/>
      <c r="F216" s="52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90"/>
      <c r="V216" s="91"/>
      <c r="W216" s="92"/>
      <c r="X216" s="92"/>
      <c r="Y216" s="92"/>
      <c r="Z216" s="91"/>
      <c r="AA216" s="93"/>
      <c r="AB216" s="99"/>
      <c r="AC216" s="54"/>
      <c r="AD216" s="54"/>
      <c r="AE216" s="54"/>
      <c r="AF216" s="54"/>
      <c r="AG216" s="54"/>
      <c r="AH216" s="54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113"/>
      <c r="BB216" s="110"/>
      <c r="BC216" s="110"/>
      <c r="BD216" s="110"/>
      <c r="BE216" s="110"/>
      <c r="BF216" s="110"/>
      <c r="BG216" s="110"/>
      <c r="BH216" s="110"/>
      <c r="BI216" s="113"/>
      <c r="BJ216" s="110"/>
      <c r="BK216" s="110"/>
      <c r="BL216" s="110"/>
      <c r="BM216" s="110"/>
      <c r="BN216" s="113"/>
      <c r="BO216" s="110"/>
      <c r="BP216" s="110"/>
      <c r="BQ216" s="110"/>
      <c r="BR216" s="110"/>
      <c r="BS216" s="110"/>
      <c r="BT216" s="110"/>
      <c r="BU216" s="110"/>
      <c r="BV216" s="110"/>
      <c r="BW216" s="110"/>
      <c r="BX216" s="113"/>
      <c r="BY216" s="110"/>
      <c r="BZ216" s="110"/>
      <c r="CA216" s="110"/>
      <c r="CB216" s="110"/>
      <c r="CC216" s="110"/>
      <c r="CD216" s="110"/>
      <c r="CE216" s="110"/>
      <c r="CF216" s="110"/>
      <c r="CG216" s="113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66"/>
      <c r="DA216" s="70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56"/>
      <c r="DR216" s="57"/>
      <c r="DS216" s="58"/>
      <c r="DT216" s="58"/>
      <c r="DU216" s="58"/>
      <c r="DV216" s="58"/>
      <c r="DW216" s="58"/>
      <c r="DX216" s="58"/>
      <c r="DY216" s="58"/>
      <c r="DZ216" s="59"/>
      <c r="EA216" s="60"/>
      <c r="EB216" s="61"/>
      <c r="EC216" s="62"/>
      <c r="ED216" s="2"/>
      <c r="EE216" s="63"/>
      <c r="EF216" s="63"/>
      <c r="EG216" s="63"/>
      <c r="EH216" s="63"/>
      <c r="EI216" s="63"/>
      <c r="EJ216" s="63"/>
      <c r="EK216" s="63"/>
      <c r="EL216" s="63"/>
      <c r="EM216" s="63"/>
      <c r="EN216" s="63"/>
      <c r="EO216" s="63"/>
      <c r="EP216" s="63"/>
      <c r="EQ216" s="63"/>
      <c r="ER216" s="63"/>
      <c r="ES216" s="63"/>
      <c r="ET216" s="63"/>
      <c r="EU216" s="80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5"/>
      <c r="FH216" s="84"/>
      <c r="FI216" s="64"/>
      <c r="FJ216" s="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8"/>
      <c r="GC216" s="48"/>
      <c r="GD216" s="48"/>
      <c r="GE216" s="48"/>
      <c r="GF216" s="48"/>
      <c r="GG216" s="48"/>
      <c r="GH216" s="48"/>
      <c r="GI216" s="48"/>
      <c r="GJ216" s="8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77"/>
      <c r="GY216" s="77"/>
      <c r="GZ216" s="77"/>
    </row>
    <row r="217" spans="1:208">
      <c r="A217" s="48"/>
      <c r="B217" s="49"/>
      <c r="C217" s="50"/>
      <c r="D217" s="51"/>
      <c r="E217" s="50"/>
      <c r="F217" s="52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90"/>
      <c r="V217" s="91"/>
      <c r="W217" s="92"/>
      <c r="X217" s="92"/>
      <c r="Y217" s="92"/>
      <c r="Z217" s="91"/>
      <c r="AA217" s="93"/>
      <c r="AB217" s="99"/>
      <c r="AC217" s="54"/>
      <c r="AD217" s="54"/>
      <c r="AE217" s="54"/>
      <c r="AF217" s="54"/>
      <c r="AG217" s="54"/>
      <c r="AH217" s="54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113"/>
      <c r="BB217" s="110"/>
      <c r="BC217" s="110"/>
      <c r="BD217" s="110"/>
      <c r="BE217" s="110"/>
      <c r="BF217" s="110"/>
      <c r="BG217" s="110"/>
      <c r="BH217" s="110"/>
      <c r="BI217" s="113"/>
      <c r="BJ217" s="110"/>
      <c r="BK217" s="110"/>
      <c r="BL217" s="110"/>
      <c r="BM217" s="110"/>
      <c r="BN217" s="113"/>
      <c r="BO217" s="110"/>
      <c r="BP217" s="110"/>
      <c r="BQ217" s="110"/>
      <c r="BR217" s="110"/>
      <c r="BS217" s="110"/>
      <c r="BT217" s="110"/>
      <c r="BU217" s="110"/>
      <c r="BV217" s="110"/>
      <c r="BW217" s="110"/>
      <c r="BX217" s="113"/>
      <c r="BY217" s="110"/>
      <c r="BZ217" s="110"/>
      <c r="CA217" s="110"/>
      <c r="CB217" s="110"/>
      <c r="CC217" s="110"/>
      <c r="CD217" s="110"/>
      <c r="CE217" s="110"/>
      <c r="CF217" s="110"/>
      <c r="CG217" s="113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66"/>
      <c r="DA217" s="70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56"/>
      <c r="DR217" s="57"/>
      <c r="DS217" s="58"/>
      <c r="DT217" s="58"/>
      <c r="DU217" s="58"/>
      <c r="DV217" s="58"/>
      <c r="DW217" s="58"/>
      <c r="DX217" s="58"/>
      <c r="DY217" s="58"/>
      <c r="DZ217" s="59"/>
      <c r="EA217" s="60"/>
      <c r="EB217" s="61"/>
      <c r="EC217" s="62"/>
      <c r="ED217" s="2"/>
      <c r="EE217" s="63"/>
      <c r="EF217" s="63"/>
      <c r="EG217" s="63"/>
      <c r="EH217" s="63"/>
      <c r="EI217" s="63"/>
      <c r="EJ217" s="63"/>
      <c r="EK217" s="63"/>
      <c r="EL217" s="63"/>
      <c r="EM217" s="63"/>
      <c r="EN217" s="63"/>
      <c r="EO217" s="63"/>
      <c r="EP217" s="63"/>
      <c r="EQ217" s="63"/>
      <c r="ER217" s="63"/>
      <c r="ES217" s="63"/>
      <c r="ET217" s="63"/>
      <c r="EU217" s="80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5"/>
      <c r="FH217" s="84"/>
      <c r="FI217" s="64"/>
      <c r="FJ217" s="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8"/>
      <c r="GG217" s="48"/>
      <c r="GH217" s="48"/>
      <c r="GI217" s="48"/>
      <c r="GJ217" s="8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77"/>
      <c r="GY217" s="77"/>
      <c r="GZ217" s="77"/>
    </row>
    <row r="218" spans="1:208">
      <c r="A218" s="48"/>
      <c r="B218" s="49"/>
      <c r="C218" s="50"/>
      <c r="D218" s="51"/>
      <c r="E218" s="50"/>
      <c r="F218" s="52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90"/>
      <c r="V218" s="91"/>
      <c r="W218" s="92"/>
      <c r="X218" s="92"/>
      <c r="Y218" s="92"/>
      <c r="Z218" s="91"/>
      <c r="AA218" s="93"/>
      <c r="AB218" s="99"/>
      <c r="AC218" s="54"/>
      <c r="AD218" s="54"/>
      <c r="AE218" s="54"/>
      <c r="AF218" s="54"/>
      <c r="AG218" s="54"/>
      <c r="AH218" s="54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113"/>
      <c r="BB218" s="110"/>
      <c r="BC218" s="110"/>
      <c r="BD218" s="110"/>
      <c r="BE218" s="110"/>
      <c r="BF218" s="110"/>
      <c r="BG218" s="110"/>
      <c r="BH218" s="110"/>
      <c r="BI218" s="113"/>
      <c r="BJ218" s="110"/>
      <c r="BK218" s="110"/>
      <c r="BL218" s="110"/>
      <c r="BM218" s="110"/>
      <c r="BN218" s="113"/>
      <c r="BO218" s="110"/>
      <c r="BP218" s="110"/>
      <c r="BQ218" s="110"/>
      <c r="BR218" s="110"/>
      <c r="BS218" s="110"/>
      <c r="BT218" s="110"/>
      <c r="BU218" s="110"/>
      <c r="BV218" s="110"/>
      <c r="BW218" s="110"/>
      <c r="BX218" s="113"/>
      <c r="BY218" s="110"/>
      <c r="BZ218" s="110"/>
      <c r="CA218" s="110"/>
      <c r="CB218" s="110"/>
      <c r="CC218" s="110"/>
      <c r="CD218" s="110"/>
      <c r="CE218" s="110"/>
      <c r="CF218" s="110"/>
      <c r="CG218" s="113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66"/>
      <c r="DA218" s="70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56"/>
      <c r="DR218" s="57"/>
      <c r="DS218" s="58"/>
      <c r="DT218" s="58"/>
      <c r="DU218" s="58"/>
      <c r="DV218" s="58"/>
      <c r="DW218" s="58"/>
      <c r="DX218" s="58"/>
      <c r="DY218" s="58"/>
      <c r="DZ218" s="59"/>
      <c r="EA218" s="60"/>
      <c r="EB218" s="61"/>
      <c r="EC218" s="62"/>
      <c r="ED218" s="2"/>
      <c r="EE218" s="63"/>
      <c r="EF218" s="63"/>
      <c r="EG218" s="63"/>
      <c r="EH218" s="63"/>
      <c r="EI218" s="63"/>
      <c r="EJ218" s="63"/>
      <c r="EK218" s="63"/>
      <c r="EL218" s="63"/>
      <c r="EM218" s="63"/>
      <c r="EN218" s="63"/>
      <c r="EO218" s="63"/>
      <c r="EP218" s="63"/>
      <c r="EQ218" s="63"/>
      <c r="ER218" s="63"/>
      <c r="ES218" s="63"/>
      <c r="ET218" s="63"/>
      <c r="EU218" s="80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5"/>
      <c r="FH218" s="84"/>
      <c r="FI218" s="64"/>
      <c r="FJ218" s="8"/>
      <c r="FK218" s="48"/>
      <c r="FL218" s="48"/>
      <c r="FM218" s="48"/>
      <c r="FN218" s="48"/>
      <c r="FO218" s="48"/>
      <c r="FP218" s="48"/>
      <c r="FQ218" s="48"/>
      <c r="FR218" s="48"/>
      <c r="FS218" s="48"/>
      <c r="FT218" s="48"/>
      <c r="FU218" s="48"/>
      <c r="FV218" s="48"/>
      <c r="FW218" s="48"/>
      <c r="FX218" s="48"/>
      <c r="FY218" s="48"/>
      <c r="FZ218" s="48"/>
      <c r="GA218" s="48"/>
      <c r="GB218" s="48"/>
      <c r="GC218" s="48"/>
      <c r="GD218" s="48"/>
      <c r="GE218" s="48"/>
      <c r="GF218" s="48"/>
      <c r="GG218" s="48"/>
      <c r="GH218" s="48"/>
      <c r="GI218" s="48"/>
      <c r="GJ218" s="8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77"/>
      <c r="GY218" s="77"/>
      <c r="GZ218" s="77"/>
    </row>
    <row r="219" spans="1:208">
      <c r="A219" s="48"/>
      <c r="B219" s="49"/>
      <c r="C219" s="50"/>
      <c r="D219" s="51"/>
      <c r="E219" s="50"/>
      <c r="F219" s="52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90"/>
      <c r="V219" s="91"/>
      <c r="W219" s="92"/>
      <c r="X219" s="92"/>
      <c r="Y219" s="92"/>
      <c r="Z219" s="91"/>
      <c r="AA219" s="93"/>
      <c r="AB219" s="99"/>
      <c r="AC219" s="54"/>
      <c r="AD219" s="54"/>
      <c r="AE219" s="54"/>
      <c r="AF219" s="54"/>
      <c r="AG219" s="54"/>
      <c r="AH219" s="54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113"/>
      <c r="BB219" s="110"/>
      <c r="BC219" s="110"/>
      <c r="BD219" s="110"/>
      <c r="BE219" s="110"/>
      <c r="BF219" s="110"/>
      <c r="BG219" s="110"/>
      <c r="BH219" s="110"/>
      <c r="BI219" s="113"/>
      <c r="BJ219" s="110"/>
      <c r="BK219" s="110"/>
      <c r="BL219" s="110"/>
      <c r="BM219" s="110"/>
      <c r="BN219" s="113"/>
      <c r="BO219" s="110"/>
      <c r="BP219" s="110"/>
      <c r="BQ219" s="110"/>
      <c r="BR219" s="110"/>
      <c r="BS219" s="110"/>
      <c r="BT219" s="110"/>
      <c r="BU219" s="110"/>
      <c r="BV219" s="110"/>
      <c r="BW219" s="110"/>
      <c r="BX219" s="113"/>
      <c r="BY219" s="110"/>
      <c r="BZ219" s="110"/>
      <c r="CA219" s="110"/>
      <c r="CB219" s="110"/>
      <c r="CC219" s="110"/>
      <c r="CD219" s="110"/>
      <c r="CE219" s="110"/>
      <c r="CF219" s="110"/>
      <c r="CG219" s="113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66"/>
      <c r="DA219" s="70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56"/>
      <c r="DR219" s="57"/>
      <c r="DS219" s="58"/>
      <c r="DT219" s="58"/>
      <c r="DU219" s="58"/>
      <c r="DV219" s="58"/>
      <c r="DW219" s="58"/>
      <c r="DX219" s="58"/>
      <c r="DY219" s="58"/>
      <c r="DZ219" s="59"/>
      <c r="EA219" s="60"/>
      <c r="EB219" s="61"/>
      <c r="EC219" s="62"/>
      <c r="ED219" s="2"/>
      <c r="EE219" s="63"/>
      <c r="EF219" s="63"/>
      <c r="EG219" s="63"/>
      <c r="EH219" s="63"/>
      <c r="EI219" s="63"/>
      <c r="EJ219" s="63"/>
      <c r="EK219" s="63"/>
      <c r="EL219" s="63"/>
      <c r="EM219" s="63"/>
      <c r="EN219" s="63"/>
      <c r="EO219" s="63"/>
      <c r="EP219" s="63"/>
      <c r="EQ219" s="63"/>
      <c r="ER219" s="63"/>
      <c r="ES219" s="63"/>
      <c r="ET219" s="63"/>
      <c r="EU219" s="80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5"/>
      <c r="FH219" s="84"/>
      <c r="FI219" s="64"/>
      <c r="FJ219" s="8"/>
      <c r="FK219" s="48"/>
      <c r="FL219" s="48"/>
      <c r="FM219" s="48"/>
      <c r="FN219" s="48"/>
      <c r="FO219" s="48"/>
      <c r="FP219" s="48"/>
      <c r="FQ219" s="48"/>
      <c r="FR219" s="48"/>
      <c r="FS219" s="48"/>
      <c r="FT219" s="48"/>
      <c r="FU219" s="48"/>
      <c r="FV219" s="48"/>
      <c r="FW219" s="48"/>
      <c r="FX219" s="48"/>
      <c r="FY219" s="48"/>
      <c r="FZ219" s="48"/>
      <c r="GA219" s="48"/>
      <c r="GB219" s="48"/>
      <c r="GC219" s="48"/>
      <c r="GD219" s="48"/>
      <c r="GE219" s="48"/>
      <c r="GF219" s="48"/>
      <c r="GG219" s="48"/>
      <c r="GH219" s="48"/>
      <c r="GI219" s="48"/>
      <c r="GJ219" s="8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77"/>
      <c r="GY219" s="77"/>
      <c r="GZ219" s="77"/>
    </row>
    <row r="220" spans="1:208">
      <c r="A220" s="48"/>
      <c r="B220" s="49"/>
      <c r="C220" s="50"/>
      <c r="D220" s="51"/>
      <c r="E220" s="50"/>
      <c r="F220" s="52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90"/>
      <c r="V220" s="91"/>
      <c r="W220" s="92"/>
      <c r="X220" s="92"/>
      <c r="Y220" s="92"/>
      <c r="Z220" s="91"/>
      <c r="AA220" s="93"/>
      <c r="AB220" s="99"/>
      <c r="AC220" s="54"/>
      <c r="AD220" s="54"/>
      <c r="AE220" s="54"/>
      <c r="AF220" s="54"/>
      <c r="AG220" s="54"/>
      <c r="AH220" s="54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113"/>
      <c r="BB220" s="110"/>
      <c r="BC220" s="110"/>
      <c r="BD220" s="110"/>
      <c r="BE220" s="110"/>
      <c r="BF220" s="110"/>
      <c r="BG220" s="110"/>
      <c r="BH220" s="110"/>
      <c r="BI220" s="113"/>
      <c r="BJ220" s="110"/>
      <c r="BK220" s="110"/>
      <c r="BL220" s="110"/>
      <c r="BM220" s="110"/>
      <c r="BN220" s="113"/>
      <c r="BO220" s="110"/>
      <c r="BP220" s="110"/>
      <c r="BQ220" s="110"/>
      <c r="BR220" s="110"/>
      <c r="BS220" s="110"/>
      <c r="BT220" s="110"/>
      <c r="BU220" s="110"/>
      <c r="BV220" s="110"/>
      <c r="BW220" s="110"/>
      <c r="BX220" s="113"/>
      <c r="BY220" s="110"/>
      <c r="BZ220" s="110"/>
      <c r="CA220" s="110"/>
      <c r="CB220" s="110"/>
      <c r="CC220" s="110"/>
      <c r="CD220" s="110"/>
      <c r="CE220" s="110"/>
      <c r="CF220" s="110"/>
      <c r="CG220" s="113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66"/>
      <c r="DA220" s="70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56"/>
      <c r="DR220" s="57"/>
      <c r="DS220" s="58"/>
      <c r="DT220" s="58"/>
      <c r="DU220" s="58"/>
      <c r="DV220" s="58"/>
      <c r="DW220" s="58"/>
      <c r="DX220" s="58"/>
      <c r="DY220" s="58"/>
      <c r="DZ220" s="59"/>
      <c r="EA220" s="60"/>
      <c r="EB220" s="61"/>
      <c r="EC220" s="62"/>
      <c r="ED220" s="2"/>
      <c r="EE220" s="63"/>
      <c r="EF220" s="63"/>
      <c r="EG220" s="63"/>
      <c r="EH220" s="63"/>
      <c r="EI220" s="63"/>
      <c r="EJ220" s="63"/>
      <c r="EK220" s="63"/>
      <c r="EL220" s="63"/>
      <c r="EM220" s="63"/>
      <c r="EN220" s="63"/>
      <c r="EO220" s="63"/>
      <c r="EP220" s="63"/>
      <c r="EQ220" s="63"/>
      <c r="ER220" s="63"/>
      <c r="ES220" s="63"/>
      <c r="ET220" s="63"/>
      <c r="EU220" s="80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5"/>
      <c r="FH220" s="84"/>
      <c r="FI220" s="64"/>
      <c r="FJ220" s="8"/>
      <c r="FK220" s="48"/>
      <c r="FL220" s="48"/>
      <c r="FM220" s="48"/>
      <c r="FN220" s="48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48"/>
      <c r="FZ220" s="48"/>
      <c r="GA220" s="48"/>
      <c r="GB220" s="48"/>
      <c r="GC220" s="48"/>
      <c r="GD220" s="48"/>
      <c r="GE220" s="48"/>
      <c r="GF220" s="48"/>
      <c r="GG220" s="48"/>
      <c r="GH220" s="48"/>
      <c r="GI220" s="48"/>
      <c r="GJ220" s="8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77"/>
      <c r="GY220" s="77"/>
      <c r="GZ220" s="77"/>
    </row>
    <row r="221" spans="1:208">
      <c r="A221" s="48"/>
      <c r="B221" s="49"/>
      <c r="C221" s="50"/>
      <c r="D221" s="51"/>
      <c r="E221" s="50"/>
      <c r="F221" s="52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90"/>
      <c r="V221" s="91"/>
      <c r="W221" s="92"/>
      <c r="X221" s="92"/>
      <c r="Y221" s="92"/>
      <c r="Z221" s="91"/>
      <c r="AA221" s="93"/>
      <c r="AB221" s="99"/>
      <c r="AC221" s="54"/>
      <c r="AD221" s="54"/>
      <c r="AE221" s="54"/>
      <c r="AF221" s="54"/>
      <c r="AG221" s="54"/>
      <c r="AH221" s="54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113"/>
      <c r="BB221" s="110"/>
      <c r="BC221" s="110"/>
      <c r="BD221" s="110"/>
      <c r="BE221" s="110"/>
      <c r="BF221" s="110"/>
      <c r="BG221" s="110"/>
      <c r="BH221" s="110"/>
      <c r="BI221" s="113"/>
      <c r="BJ221" s="110"/>
      <c r="BK221" s="110"/>
      <c r="BL221" s="110"/>
      <c r="BM221" s="110"/>
      <c r="BN221" s="113"/>
      <c r="BO221" s="110"/>
      <c r="BP221" s="110"/>
      <c r="BQ221" s="110"/>
      <c r="BR221" s="110"/>
      <c r="BS221" s="110"/>
      <c r="BT221" s="110"/>
      <c r="BU221" s="110"/>
      <c r="BV221" s="110"/>
      <c r="BW221" s="110"/>
      <c r="BX221" s="113"/>
      <c r="BY221" s="110"/>
      <c r="BZ221" s="110"/>
      <c r="CA221" s="110"/>
      <c r="CB221" s="110"/>
      <c r="CC221" s="110"/>
      <c r="CD221" s="110"/>
      <c r="CE221" s="110"/>
      <c r="CF221" s="110"/>
      <c r="CG221" s="113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66"/>
      <c r="DA221" s="70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56"/>
      <c r="DR221" s="57"/>
      <c r="DS221" s="58"/>
      <c r="DT221" s="58"/>
      <c r="DU221" s="58"/>
      <c r="DV221" s="58"/>
      <c r="DW221" s="58"/>
      <c r="DX221" s="58"/>
      <c r="DY221" s="58"/>
      <c r="DZ221" s="59"/>
      <c r="EA221" s="60"/>
      <c r="EB221" s="61"/>
      <c r="EC221" s="62"/>
      <c r="ED221" s="2"/>
      <c r="EE221" s="63"/>
      <c r="EF221" s="63"/>
      <c r="EG221" s="63"/>
      <c r="EH221" s="63"/>
      <c r="EI221" s="63"/>
      <c r="EJ221" s="63"/>
      <c r="EK221" s="63"/>
      <c r="EL221" s="63"/>
      <c r="EM221" s="63"/>
      <c r="EN221" s="63"/>
      <c r="EO221" s="63"/>
      <c r="EP221" s="63"/>
      <c r="EQ221" s="63"/>
      <c r="ER221" s="63"/>
      <c r="ES221" s="63"/>
      <c r="ET221" s="63"/>
      <c r="EU221" s="80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5"/>
      <c r="FH221" s="84"/>
      <c r="FI221" s="64"/>
      <c r="FJ221" s="8"/>
      <c r="FK221" s="48"/>
      <c r="FL221" s="48"/>
      <c r="FM221" s="48"/>
      <c r="FN221" s="48"/>
      <c r="FO221" s="48"/>
      <c r="FP221" s="48"/>
      <c r="FQ221" s="48"/>
      <c r="FR221" s="48"/>
      <c r="FS221" s="48"/>
      <c r="FT221" s="48"/>
      <c r="FU221" s="48"/>
      <c r="FV221" s="48"/>
      <c r="FW221" s="48"/>
      <c r="FX221" s="48"/>
      <c r="FY221" s="48"/>
      <c r="FZ221" s="48"/>
      <c r="GA221" s="48"/>
      <c r="GB221" s="48"/>
      <c r="GC221" s="48"/>
      <c r="GD221" s="48"/>
      <c r="GE221" s="48"/>
      <c r="GF221" s="48"/>
      <c r="GG221" s="48"/>
      <c r="GH221" s="48"/>
      <c r="GI221" s="48"/>
      <c r="GJ221" s="8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77"/>
      <c r="GY221" s="77"/>
      <c r="GZ221" s="77"/>
    </row>
    <row r="222" spans="1:208">
      <c r="A222" s="48"/>
      <c r="B222" s="49"/>
      <c r="C222" s="50"/>
      <c r="D222" s="51"/>
      <c r="E222" s="50"/>
      <c r="F222" s="52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90"/>
      <c r="V222" s="91"/>
      <c r="W222" s="92"/>
      <c r="X222" s="92"/>
      <c r="Y222" s="92"/>
      <c r="Z222" s="91"/>
      <c r="AA222" s="93"/>
      <c r="AB222" s="99"/>
      <c r="AC222" s="54"/>
      <c r="AD222" s="54"/>
      <c r="AE222" s="54"/>
      <c r="AF222" s="54"/>
      <c r="AG222" s="54"/>
      <c r="AH222" s="54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113"/>
      <c r="BB222" s="110"/>
      <c r="BC222" s="110"/>
      <c r="BD222" s="110"/>
      <c r="BE222" s="110"/>
      <c r="BF222" s="110"/>
      <c r="BG222" s="110"/>
      <c r="BH222" s="110"/>
      <c r="BI222" s="113"/>
      <c r="BJ222" s="110"/>
      <c r="BK222" s="110"/>
      <c r="BL222" s="110"/>
      <c r="BM222" s="110"/>
      <c r="BN222" s="113"/>
      <c r="BO222" s="110"/>
      <c r="BP222" s="110"/>
      <c r="BQ222" s="110"/>
      <c r="BR222" s="110"/>
      <c r="BS222" s="110"/>
      <c r="BT222" s="110"/>
      <c r="BU222" s="110"/>
      <c r="BV222" s="110"/>
      <c r="BW222" s="110"/>
      <c r="BX222" s="113"/>
      <c r="BY222" s="110"/>
      <c r="BZ222" s="110"/>
      <c r="CA222" s="110"/>
      <c r="CB222" s="110"/>
      <c r="CC222" s="110"/>
      <c r="CD222" s="110"/>
      <c r="CE222" s="110"/>
      <c r="CF222" s="110"/>
      <c r="CG222" s="113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66"/>
      <c r="DA222" s="70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56"/>
      <c r="DR222" s="57"/>
      <c r="DS222" s="58"/>
      <c r="DT222" s="58"/>
      <c r="DU222" s="58"/>
      <c r="DV222" s="58"/>
      <c r="DW222" s="58"/>
      <c r="DX222" s="58"/>
      <c r="DY222" s="58"/>
      <c r="DZ222" s="59"/>
      <c r="EA222" s="60"/>
      <c r="EB222" s="61"/>
      <c r="EC222" s="62"/>
      <c r="ED222" s="2"/>
      <c r="EE222" s="63"/>
      <c r="EF222" s="63"/>
      <c r="EG222" s="63"/>
      <c r="EH222" s="63"/>
      <c r="EI222" s="63"/>
      <c r="EJ222" s="63"/>
      <c r="EK222" s="63"/>
      <c r="EL222" s="63"/>
      <c r="EM222" s="63"/>
      <c r="EN222" s="63"/>
      <c r="EO222" s="63"/>
      <c r="EP222" s="63"/>
      <c r="EQ222" s="63"/>
      <c r="ER222" s="63"/>
      <c r="ES222" s="63"/>
      <c r="ET222" s="63"/>
      <c r="EU222" s="80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5"/>
      <c r="FH222" s="84"/>
      <c r="FI222" s="64"/>
      <c r="FJ222" s="8"/>
      <c r="FK222" s="48"/>
      <c r="FL222" s="48"/>
      <c r="FM222" s="48"/>
      <c r="FN222" s="48"/>
      <c r="FO222" s="48"/>
      <c r="FP222" s="48"/>
      <c r="FQ222" s="48"/>
      <c r="FR222" s="48"/>
      <c r="FS222" s="48"/>
      <c r="FT222" s="48"/>
      <c r="FU222" s="48"/>
      <c r="FV222" s="48"/>
      <c r="FW222" s="48"/>
      <c r="FX222" s="48"/>
      <c r="FY222" s="48"/>
      <c r="FZ222" s="48"/>
      <c r="GA222" s="48"/>
      <c r="GB222" s="48"/>
      <c r="GC222" s="48"/>
      <c r="GD222" s="48"/>
      <c r="GE222" s="48"/>
      <c r="GF222" s="48"/>
      <c r="GG222" s="48"/>
      <c r="GH222" s="48"/>
      <c r="GI222" s="48"/>
      <c r="GJ222" s="8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77"/>
      <c r="GY222" s="77"/>
      <c r="GZ222" s="77"/>
    </row>
    <row r="223" spans="1:208">
      <c r="A223" s="48"/>
      <c r="B223" s="49"/>
      <c r="C223" s="50"/>
      <c r="D223" s="51"/>
      <c r="E223" s="50"/>
      <c r="F223" s="52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90"/>
      <c r="V223" s="91"/>
      <c r="W223" s="92"/>
      <c r="X223" s="92"/>
      <c r="Y223" s="92"/>
      <c r="Z223" s="91"/>
      <c r="AA223" s="93"/>
      <c r="AB223" s="99"/>
      <c r="AC223" s="54"/>
      <c r="AD223" s="54"/>
      <c r="AE223" s="54"/>
      <c r="AF223" s="54"/>
      <c r="AG223" s="54"/>
      <c r="AH223" s="54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113"/>
      <c r="BB223" s="110"/>
      <c r="BC223" s="110"/>
      <c r="BD223" s="110"/>
      <c r="BE223" s="110"/>
      <c r="BF223" s="110"/>
      <c r="BG223" s="110"/>
      <c r="BH223" s="110"/>
      <c r="BI223" s="113"/>
      <c r="BJ223" s="110"/>
      <c r="BK223" s="110"/>
      <c r="BL223" s="110"/>
      <c r="BM223" s="110"/>
      <c r="BN223" s="113"/>
      <c r="BO223" s="110"/>
      <c r="BP223" s="110"/>
      <c r="BQ223" s="110"/>
      <c r="BR223" s="110"/>
      <c r="BS223" s="110"/>
      <c r="BT223" s="110"/>
      <c r="BU223" s="110"/>
      <c r="BV223" s="110"/>
      <c r="BW223" s="110"/>
      <c r="BX223" s="113"/>
      <c r="BY223" s="110"/>
      <c r="BZ223" s="110"/>
      <c r="CA223" s="110"/>
      <c r="CB223" s="110"/>
      <c r="CC223" s="110"/>
      <c r="CD223" s="110"/>
      <c r="CE223" s="110"/>
      <c r="CF223" s="110"/>
      <c r="CG223" s="113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66"/>
      <c r="DA223" s="70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56"/>
      <c r="DR223" s="57"/>
      <c r="DS223" s="58"/>
      <c r="DT223" s="58"/>
      <c r="DU223" s="58"/>
      <c r="DV223" s="58"/>
      <c r="DW223" s="58"/>
      <c r="DX223" s="58"/>
      <c r="DY223" s="58"/>
      <c r="DZ223" s="59"/>
      <c r="EA223" s="60"/>
      <c r="EB223" s="61"/>
      <c r="EC223" s="62"/>
      <c r="ED223" s="2"/>
      <c r="EE223" s="63"/>
      <c r="EF223" s="63"/>
      <c r="EG223" s="63"/>
      <c r="EH223" s="63"/>
      <c r="EI223" s="63"/>
      <c r="EJ223" s="63"/>
      <c r="EK223" s="63"/>
      <c r="EL223" s="63"/>
      <c r="EM223" s="63"/>
      <c r="EN223" s="63"/>
      <c r="EO223" s="63"/>
      <c r="EP223" s="63"/>
      <c r="EQ223" s="63"/>
      <c r="ER223" s="63"/>
      <c r="ES223" s="63"/>
      <c r="ET223" s="63"/>
      <c r="EU223" s="80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5"/>
      <c r="FH223" s="84"/>
      <c r="FI223" s="64"/>
      <c r="FJ223" s="8"/>
      <c r="FK223" s="48"/>
      <c r="FL223" s="48"/>
      <c r="FM223" s="48"/>
      <c r="FN223" s="48"/>
      <c r="FO223" s="48"/>
      <c r="FP223" s="48"/>
      <c r="FQ223" s="48"/>
      <c r="FR223" s="48"/>
      <c r="FS223" s="48"/>
      <c r="FT223" s="48"/>
      <c r="FU223" s="48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8"/>
      <c r="GG223" s="48"/>
      <c r="GH223" s="48"/>
      <c r="GI223" s="48"/>
      <c r="GJ223" s="8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77"/>
      <c r="GY223" s="77"/>
      <c r="GZ223" s="77"/>
    </row>
    <row r="224" spans="1:208">
      <c r="A224" s="48"/>
      <c r="B224" s="49"/>
      <c r="C224" s="50"/>
      <c r="D224" s="51"/>
      <c r="E224" s="50"/>
      <c r="F224" s="52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90"/>
      <c r="V224" s="91"/>
      <c r="W224" s="92"/>
      <c r="X224" s="92"/>
      <c r="Y224" s="92"/>
      <c r="Z224" s="91"/>
      <c r="AA224" s="93"/>
      <c r="AB224" s="99"/>
      <c r="AC224" s="54"/>
      <c r="AD224" s="54"/>
      <c r="AE224" s="54"/>
      <c r="AF224" s="54"/>
      <c r="AG224" s="54"/>
      <c r="AH224" s="54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113"/>
      <c r="BB224" s="110"/>
      <c r="BC224" s="110"/>
      <c r="BD224" s="110"/>
      <c r="BE224" s="110"/>
      <c r="BF224" s="110"/>
      <c r="BG224" s="110"/>
      <c r="BH224" s="110"/>
      <c r="BI224" s="113"/>
      <c r="BJ224" s="110"/>
      <c r="BK224" s="110"/>
      <c r="BL224" s="110"/>
      <c r="BM224" s="110"/>
      <c r="BN224" s="113"/>
      <c r="BO224" s="110"/>
      <c r="BP224" s="110"/>
      <c r="BQ224" s="110"/>
      <c r="BR224" s="110"/>
      <c r="BS224" s="110"/>
      <c r="BT224" s="110"/>
      <c r="BU224" s="110"/>
      <c r="BV224" s="110"/>
      <c r="BW224" s="110"/>
      <c r="BX224" s="113"/>
      <c r="BY224" s="110"/>
      <c r="BZ224" s="110"/>
      <c r="CA224" s="110"/>
      <c r="CB224" s="110"/>
      <c r="CC224" s="110"/>
      <c r="CD224" s="110"/>
      <c r="CE224" s="110"/>
      <c r="CF224" s="110"/>
      <c r="CG224" s="113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66"/>
      <c r="DA224" s="70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56"/>
      <c r="DR224" s="57"/>
      <c r="DS224" s="58"/>
      <c r="DT224" s="58"/>
      <c r="DU224" s="58"/>
      <c r="DV224" s="58"/>
      <c r="DW224" s="58"/>
      <c r="DX224" s="58"/>
      <c r="DY224" s="58"/>
      <c r="DZ224" s="59"/>
      <c r="EA224" s="60"/>
      <c r="EB224" s="61"/>
      <c r="EC224" s="62"/>
      <c r="ED224" s="2"/>
      <c r="EE224" s="63"/>
      <c r="EF224" s="63"/>
      <c r="EG224" s="63"/>
      <c r="EH224" s="63"/>
      <c r="EI224" s="63"/>
      <c r="EJ224" s="63"/>
      <c r="EK224" s="63"/>
      <c r="EL224" s="63"/>
      <c r="EM224" s="63"/>
      <c r="EN224" s="63"/>
      <c r="EO224" s="63"/>
      <c r="EP224" s="63"/>
      <c r="EQ224" s="63"/>
      <c r="ER224" s="63"/>
      <c r="ES224" s="63"/>
      <c r="ET224" s="63"/>
      <c r="EU224" s="80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5"/>
      <c r="FH224" s="84"/>
      <c r="FI224" s="64"/>
      <c r="FJ224" s="8"/>
      <c r="FK224" s="48"/>
      <c r="FL224" s="48"/>
      <c r="FM224" s="48"/>
      <c r="FN224" s="48"/>
      <c r="FO224" s="48"/>
      <c r="FP224" s="48"/>
      <c r="FQ224" s="48"/>
      <c r="FR224" s="48"/>
      <c r="FS224" s="48"/>
      <c r="FT224" s="48"/>
      <c r="FU224" s="48"/>
      <c r="FV224" s="48"/>
      <c r="FW224" s="48"/>
      <c r="FX224" s="48"/>
      <c r="FY224" s="48"/>
      <c r="FZ224" s="48"/>
      <c r="GA224" s="48"/>
      <c r="GB224" s="48"/>
      <c r="GC224" s="48"/>
      <c r="GD224" s="48"/>
      <c r="GE224" s="48"/>
      <c r="GF224" s="48"/>
      <c r="GG224" s="48"/>
      <c r="GH224" s="48"/>
      <c r="GI224" s="48"/>
      <c r="GJ224" s="8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77"/>
      <c r="GY224" s="77"/>
      <c r="GZ224" s="77"/>
    </row>
    <row r="225" spans="1:208">
      <c r="A225" s="48"/>
      <c r="B225" s="49"/>
      <c r="C225" s="50"/>
      <c r="D225" s="51"/>
      <c r="E225" s="50"/>
      <c r="F225" s="52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90"/>
      <c r="V225" s="91"/>
      <c r="W225" s="92"/>
      <c r="X225" s="92"/>
      <c r="Y225" s="92"/>
      <c r="Z225" s="91"/>
      <c r="AA225" s="93"/>
      <c r="AB225" s="99"/>
      <c r="AC225" s="54"/>
      <c r="AD225" s="54"/>
      <c r="AE225" s="54"/>
      <c r="AF225" s="54"/>
      <c r="AG225" s="54"/>
      <c r="AH225" s="54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113"/>
      <c r="BB225" s="110"/>
      <c r="BC225" s="110"/>
      <c r="BD225" s="110"/>
      <c r="BE225" s="110"/>
      <c r="BF225" s="110"/>
      <c r="BG225" s="110"/>
      <c r="BH225" s="110"/>
      <c r="BI225" s="113"/>
      <c r="BJ225" s="110"/>
      <c r="BK225" s="110"/>
      <c r="BL225" s="110"/>
      <c r="BM225" s="110"/>
      <c r="BN225" s="113"/>
      <c r="BO225" s="110"/>
      <c r="BP225" s="110"/>
      <c r="BQ225" s="110"/>
      <c r="BR225" s="110"/>
      <c r="BS225" s="110"/>
      <c r="BT225" s="110"/>
      <c r="BU225" s="110"/>
      <c r="BV225" s="110"/>
      <c r="BW225" s="110"/>
      <c r="BX225" s="113"/>
      <c r="BY225" s="110"/>
      <c r="BZ225" s="110"/>
      <c r="CA225" s="110"/>
      <c r="CB225" s="110"/>
      <c r="CC225" s="110"/>
      <c r="CD225" s="110"/>
      <c r="CE225" s="110"/>
      <c r="CF225" s="110"/>
      <c r="CG225" s="113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66"/>
      <c r="DA225" s="70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56"/>
      <c r="DR225" s="57"/>
      <c r="DS225" s="58"/>
      <c r="DT225" s="58"/>
      <c r="DU225" s="58"/>
      <c r="DV225" s="58"/>
      <c r="DW225" s="58"/>
      <c r="DX225" s="58"/>
      <c r="DY225" s="58"/>
      <c r="DZ225" s="59"/>
      <c r="EA225" s="60"/>
      <c r="EB225" s="61"/>
      <c r="EC225" s="62"/>
      <c r="ED225" s="2"/>
      <c r="EE225" s="63"/>
      <c r="EF225" s="63"/>
      <c r="EG225" s="63"/>
      <c r="EH225" s="63"/>
      <c r="EI225" s="63"/>
      <c r="EJ225" s="63"/>
      <c r="EK225" s="63"/>
      <c r="EL225" s="63"/>
      <c r="EM225" s="63"/>
      <c r="EN225" s="63"/>
      <c r="EO225" s="63"/>
      <c r="EP225" s="63"/>
      <c r="EQ225" s="63"/>
      <c r="ER225" s="63"/>
      <c r="ES225" s="63"/>
      <c r="ET225" s="63"/>
      <c r="EU225" s="80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5"/>
      <c r="FH225" s="84"/>
      <c r="FI225" s="64"/>
      <c r="FJ225" s="8"/>
      <c r="FK225" s="48"/>
      <c r="FL225" s="48"/>
      <c r="FM225" s="48"/>
      <c r="FN225" s="48"/>
      <c r="FO225" s="48"/>
      <c r="FP225" s="48"/>
      <c r="FQ225" s="48"/>
      <c r="FR225" s="48"/>
      <c r="FS225" s="48"/>
      <c r="FT225" s="48"/>
      <c r="FU225" s="48"/>
      <c r="FV225" s="48"/>
      <c r="FW225" s="48"/>
      <c r="FX225" s="48"/>
      <c r="FY225" s="48"/>
      <c r="FZ225" s="48"/>
      <c r="GA225" s="48"/>
      <c r="GB225" s="48"/>
      <c r="GC225" s="48"/>
      <c r="GD225" s="48"/>
      <c r="GE225" s="48"/>
      <c r="GF225" s="48"/>
      <c r="GG225" s="48"/>
      <c r="GH225" s="48"/>
      <c r="GI225" s="48"/>
      <c r="GJ225" s="8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77"/>
      <c r="GY225" s="77"/>
      <c r="GZ225" s="77"/>
    </row>
    <row r="226" spans="1:208">
      <c r="A226" s="48"/>
      <c r="B226" s="49"/>
      <c r="C226" s="50"/>
      <c r="D226" s="51"/>
      <c r="E226" s="50"/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90"/>
      <c r="V226" s="91"/>
      <c r="W226" s="92"/>
      <c r="X226" s="92"/>
      <c r="Y226" s="92"/>
      <c r="Z226" s="91"/>
      <c r="AA226" s="93"/>
      <c r="AB226" s="99"/>
      <c r="AC226" s="54"/>
      <c r="AD226" s="54"/>
      <c r="AE226" s="54"/>
      <c r="AF226" s="54"/>
      <c r="AG226" s="54"/>
      <c r="AH226" s="54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113"/>
      <c r="BB226" s="110"/>
      <c r="BC226" s="110"/>
      <c r="BD226" s="110"/>
      <c r="BE226" s="110"/>
      <c r="BF226" s="110"/>
      <c r="BG226" s="110"/>
      <c r="BH226" s="110"/>
      <c r="BI226" s="113"/>
      <c r="BJ226" s="110"/>
      <c r="BK226" s="110"/>
      <c r="BL226" s="110"/>
      <c r="BM226" s="110"/>
      <c r="BN226" s="113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3"/>
      <c r="BY226" s="110"/>
      <c r="BZ226" s="110"/>
      <c r="CA226" s="110"/>
      <c r="CB226" s="110"/>
      <c r="CC226" s="110"/>
      <c r="CD226" s="110"/>
      <c r="CE226" s="110"/>
      <c r="CF226" s="110"/>
      <c r="CG226" s="113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66"/>
      <c r="DA226" s="70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56"/>
      <c r="DR226" s="57"/>
      <c r="DS226" s="58"/>
      <c r="DT226" s="58"/>
      <c r="DU226" s="58"/>
      <c r="DV226" s="58"/>
      <c r="DW226" s="58"/>
      <c r="DX226" s="58"/>
      <c r="DY226" s="58"/>
      <c r="DZ226" s="59"/>
      <c r="EA226" s="60"/>
      <c r="EB226" s="61"/>
      <c r="EC226" s="62"/>
      <c r="ED226" s="2"/>
      <c r="EE226" s="63"/>
      <c r="EF226" s="63"/>
      <c r="EG226" s="63"/>
      <c r="EH226" s="63"/>
      <c r="EI226" s="63"/>
      <c r="EJ226" s="63"/>
      <c r="EK226" s="63"/>
      <c r="EL226" s="63"/>
      <c r="EM226" s="63"/>
      <c r="EN226" s="63"/>
      <c r="EO226" s="63"/>
      <c r="EP226" s="63"/>
      <c r="EQ226" s="63"/>
      <c r="ER226" s="63"/>
      <c r="ES226" s="63"/>
      <c r="ET226" s="63"/>
      <c r="EU226" s="80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5"/>
      <c r="FH226" s="84"/>
      <c r="FI226" s="64"/>
      <c r="FJ226" s="8"/>
      <c r="FK226" s="48"/>
      <c r="FL226" s="48"/>
      <c r="FM226" s="48"/>
      <c r="FN226" s="48"/>
      <c r="FO226" s="48"/>
      <c r="FP226" s="48"/>
      <c r="FQ226" s="48"/>
      <c r="FR226" s="48"/>
      <c r="FS226" s="48"/>
      <c r="FT226" s="48"/>
      <c r="FU226" s="48"/>
      <c r="FV226" s="48"/>
      <c r="FW226" s="48"/>
      <c r="FX226" s="48"/>
      <c r="FY226" s="48"/>
      <c r="FZ226" s="48"/>
      <c r="GA226" s="48"/>
      <c r="GB226" s="48"/>
      <c r="GC226" s="48"/>
      <c r="GD226" s="48"/>
      <c r="GE226" s="48"/>
      <c r="GF226" s="48"/>
      <c r="GG226" s="48"/>
      <c r="GH226" s="48"/>
      <c r="GI226" s="48"/>
      <c r="GJ226" s="8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77"/>
      <c r="GY226" s="77"/>
      <c r="GZ226" s="77"/>
    </row>
    <row r="227" spans="1:208">
      <c r="A227" s="48"/>
      <c r="B227" s="49"/>
      <c r="C227" s="50"/>
      <c r="D227" s="51"/>
      <c r="E227" s="50"/>
      <c r="F227" s="52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90"/>
      <c r="V227" s="91"/>
      <c r="W227" s="92"/>
      <c r="X227" s="92"/>
      <c r="Y227" s="92"/>
      <c r="Z227" s="91"/>
      <c r="AA227" s="93"/>
      <c r="AB227" s="99"/>
      <c r="AC227" s="54"/>
      <c r="AD227" s="54"/>
      <c r="AE227" s="54"/>
      <c r="AF227" s="54"/>
      <c r="AG227" s="54"/>
      <c r="AH227" s="54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113"/>
      <c r="BB227" s="110"/>
      <c r="BC227" s="110"/>
      <c r="BD227" s="110"/>
      <c r="BE227" s="110"/>
      <c r="BF227" s="110"/>
      <c r="BG227" s="110"/>
      <c r="BH227" s="110"/>
      <c r="BI227" s="113"/>
      <c r="BJ227" s="110"/>
      <c r="BK227" s="110"/>
      <c r="BL227" s="110"/>
      <c r="BM227" s="110"/>
      <c r="BN227" s="113"/>
      <c r="BO227" s="110"/>
      <c r="BP227" s="110"/>
      <c r="BQ227" s="110"/>
      <c r="BR227" s="110"/>
      <c r="BS227" s="110"/>
      <c r="BT227" s="110"/>
      <c r="BU227" s="110"/>
      <c r="BV227" s="110"/>
      <c r="BW227" s="110"/>
      <c r="BX227" s="113"/>
      <c r="BY227" s="110"/>
      <c r="BZ227" s="110"/>
      <c r="CA227" s="110"/>
      <c r="CB227" s="110"/>
      <c r="CC227" s="110"/>
      <c r="CD227" s="110"/>
      <c r="CE227" s="110"/>
      <c r="CF227" s="110"/>
      <c r="CG227" s="113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66"/>
      <c r="DA227" s="70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56"/>
      <c r="DR227" s="57"/>
      <c r="DS227" s="58"/>
      <c r="DT227" s="58"/>
      <c r="DU227" s="58"/>
      <c r="DV227" s="58"/>
      <c r="DW227" s="58"/>
      <c r="DX227" s="58"/>
      <c r="DY227" s="58"/>
      <c r="DZ227" s="59"/>
      <c r="EA227" s="60"/>
      <c r="EB227" s="61"/>
      <c r="EC227" s="62"/>
      <c r="ED227" s="2"/>
      <c r="EE227" s="63"/>
      <c r="EF227" s="63"/>
      <c r="EG227" s="63"/>
      <c r="EH227" s="63"/>
      <c r="EI227" s="63"/>
      <c r="EJ227" s="63"/>
      <c r="EK227" s="63"/>
      <c r="EL227" s="63"/>
      <c r="EM227" s="63"/>
      <c r="EN227" s="63"/>
      <c r="EO227" s="63"/>
      <c r="EP227" s="63"/>
      <c r="EQ227" s="63"/>
      <c r="ER227" s="63"/>
      <c r="ES227" s="63"/>
      <c r="ET227" s="63"/>
      <c r="EU227" s="80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5"/>
      <c r="FH227" s="84"/>
      <c r="FI227" s="64"/>
      <c r="FJ227" s="8"/>
      <c r="FK227" s="48"/>
      <c r="FL227" s="48"/>
      <c r="FM227" s="48"/>
      <c r="FN227" s="48"/>
      <c r="FO227" s="48"/>
      <c r="FP227" s="48"/>
      <c r="FQ227" s="48"/>
      <c r="FR227" s="48"/>
      <c r="FS227" s="48"/>
      <c r="FT227" s="48"/>
      <c r="FU227" s="48"/>
      <c r="FV227" s="48"/>
      <c r="FW227" s="48"/>
      <c r="FX227" s="48"/>
      <c r="FY227" s="48"/>
      <c r="FZ227" s="48"/>
      <c r="GA227" s="48"/>
      <c r="GB227" s="48"/>
      <c r="GC227" s="48"/>
      <c r="GD227" s="48"/>
      <c r="GE227" s="48"/>
      <c r="GF227" s="48"/>
      <c r="GG227" s="48"/>
      <c r="GH227" s="48"/>
      <c r="GI227" s="48"/>
      <c r="GJ227" s="8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77"/>
      <c r="GY227" s="77"/>
      <c r="GZ227" s="77"/>
    </row>
    <row r="228" spans="1:208">
      <c r="A228" s="48"/>
      <c r="B228" s="49"/>
      <c r="C228" s="50"/>
      <c r="D228" s="51"/>
      <c r="E228" s="50"/>
      <c r="F228" s="52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90"/>
      <c r="V228" s="91"/>
      <c r="W228" s="92"/>
      <c r="X228" s="92"/>
      <c r="Y228" s="92"/>
      <c r="Z228" s="91"/>
      <c r="AA228" s="93"/>
      <c r="AB228" s="99"/>
      <c r="AC228" s="54"/>
      <c r="AD228" s="54"/>
      <c r="AE228" s="54"/>
      <c r="AF228" s="54"/>
      <c r="AG228" s="54"/>
      <c r="AH228" s="54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113"/>
      <c r="BB228" s="110"/>
      <c r="BC228" s="110"/>
      <c r="BD228" s="110"/>
      <c r="BE228" s="110"/>
      <c r="BF228" s="110"/>
      <c r="BG228" s="110"/>
      <c r="BH228" s="110"/>
      <c r="BI228" s="113"/>
      <c r="BJ228" s="110"/>
      <c r="BK228" s="110"/>
      <c r="BL228" s="110"/>
      <c r="BM228" s="110"/>
      <c r="BN228" s="113"/>
      <c r="BO228" s="110"/>
      <c r="BP228" s="110"/>
      <c r="BQ228" s="110"/>
      <c r="BR228" s="110"/>
      <c r="BS228" s="110"/>
      <c r="BT228" s="110"/>
      <c r="BU228" s="110"/>
      <c r="BV228" s="110"/>
      <c r="BW228" s="110"/>
      <c r="BX228" s="113"/>
      <c r="BY228" s="110"/>
      <c r="BZ228" s="110"/>
      <c r="CA228" s="110"/>
      <c r="CB228" s="110"/>
      <c r="CC228" s="110"/>
      <c r="CD228" s="110"/>
      <c r="CE228" s="110"/>
      <c r="CF228" s="110"/>
      <c r="CG228" s="113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66"/>
      <c r="DA228" s="70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56"/>
      <c r="DR228" s="57"/>
      <c r="DS228" s="58"/>
      <c r="DT228" s="58"/>
      <c r="DU228" s="58"/>
      <c r="DV228" s="58"/>
      <c r="DW228" s="58"/>
      <c r="DX228" s="58"/>
      <c r="DY228" s="58"/>
      <c r="DZ228" s="59"/>
      <c r="EA228" s="60"/>
      <c r="EB228" s="61"/>
      <c r="EC228" s="62"/>
      <c r="ED228" s="2"/>
      <c r="EE228" s="63"/>
      <c r="EF228" s="63"/>
      <c r="EG228" s="63"/>
      <c r="EH228" s="63"/>
      <c r="EI228" s="63"/>
      <c r="EJ228" s="63"/>
      <c r="EK228" s="63"/>
      <c r="EL228" s="63"/>
      <c r="EM228" s="63"/>
      <c r="EN228" s="63"/>
      <c r="EO228" s="63"/>
      <c r="EP228" s="63"/>
      <c r="EQ228" s="63"/>
      <c r="ER228" s="63"/>
      <c r="ES228" s="63"/>
      <c r="ET228" s="63"/>
      <c r="EU228" s="80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5"/>
      <c r="FH228" s="84"/>
      <c r="FI228" s="64"/>
      <c r="FJ228" s="8"/>
      <c r="FK228" s="48"/>
      <c r="FL228" s="48"/>
      <c r="FM228" s="48"/>
      <c r="FN228" s="48"/>
      <c r="FO228" s="48"/>
      <c r="FP228" s="48"/>
      <c r="FQ228" s="48"/>
      <c r="FR228" s="48"/>
      <c r="FS228" s="48"/>
      <c r="FT228" s="48"/>
      <c r="FU228" s="48"/>
      <c r="FV228" s="48"/>
      <c r="FW228" s="48"/>
      <c r="FX228" s="48"/>
      <c r="FY228" s="48"/>
      <c r="FZ228" s="48"/>
      <c r="GA228" s="48"/>
      <c r="GB228" s="48"/>
      <c r="GC228" s="48"/>
      <c r="GD228" s="48"/>
      <c r="GE228" s="48"/>
      <c r="GF228" s="48"/>
      <c r="GG228" s="48"/>
      <c r="GH228" s="48"/>
      <c r="GI228" s="48"/>
      <c r="GJ228" s="8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77"/>
      <c r="GY228" s="77"/>
      <c r="GZ228" s="77"/>
    </row>
    <row r="229" spans="1:208">
      <c r="A229" s="48"/>
      <c r="B229" s="49"/>
      <c r="C229" s="50"/>
      <c r="D229" s="51"/>
      <c r="E229" s="50"/>
      <c r="F229" s="52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90"/>
      <c r="V229" s="91"/>
      <c r="W229" s="92"/>
      <c r="X229" s="92"/>
      <c r="Y229" s="92"/>
      <c r="Z229" s="91"/>
      <c r="AA229" s="93"/>
      <c r="AB229" s="99"/>
      <c r="AC229" s="54"/>
      <c r="AD229" s="54"/>
      <c r="AE229" s="54"/>
      <c r="AF229" s="54"/>
      <c r="AG229" s="54"/>
      <c r="AH229" s="54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113"/>
      <c r="BB229" s="110"/>
      <c r="BC229" s="110"/>
      <c r="BD229" s="110"/>
      <c r="BE229" s="110"/>
      <c r="BF229" s="110"/>
      <c r="BG229" s="110"/>
      <c r="BH229" s="110"/>
      <c r="BI229" s="113"/>
      <c r="BJ229" s="110"/>
      <c r="BK229" s="110"/>
      <c r="BL229" s="110"/>
      <c r="BM229" s="110"/>
      <c r="BN229" s="113"/>
      <c r="BO229" s="110"/>
      <c r="BP229" s="110"/>
      <c r="BQ229" s="110"/>
      <c r="BR229" s="110"/>
      <c r="BS229" s="110"/>
      <c r="BT229" s="110"/>
      <c r="BU229" s="110"/>
      <c r="BV229" s="110"/>
      <c r="BW229" s="110"/>
      <c r="BX229" s="113"/>
      <c r="BY229" s="110"/>
      <c r="BZ229" s="110"/>
      <c r="CA229" s="110"/>
      <c r="CB229" s="110"/>
      <c r="CC229" s="110"/>
      <c r="CD229" s="110"/>
      <c r="CE229" s="110"/>
      <c r="CF229" s="110"/>
      <c r="CG229" s="113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66"/>
      <c r="DA229" s="70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56"/>
      <c r="DR229" s="57"/>
      <c r="DS229" s="58"/>
      <c r="DT229" s="58"/>
      <c r="DU229" s="58"/>
      <c r="DV229" s="58"/>
      <c r="DW229" s="58"/>
      <c r="DX229" s="58"/>
      <c r="DY229" s="58"/>
      <c r="DZ229" s="59"/>
      <c r="EA229" s="60"/>
      <c r="EB229" s="61"/>
      <c r="EC229" s="62"/>
      <c r="ED229" s="2"/>
      <c r="EE229" s="63"/>
      <c r="EF229" s="63"/>
      <c r="EG229" s="63"/>
      <c r="EH229" s="63"/>
      <c r="EI229" s="63"/>
      <c r="EJ229" s="63"/>
      <c r="EK229" s="63"/>
      <c r="EL229" s="63"/>
      <c r="EM229" s="63"/>
      <c r="EN229" s="63"/>
      <c r="EO229" s="63"/>
      <c r="EP229" s="63"/>
      <c r="EQ229" s="63"/>
      <c r="ER229" s="63"/>
      <c r="ES229" s="63"/>
      <c r="ET229" s="63"/>
      <c r="EU229" s="80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5"/>
      <c r="FH229" s="84"/>
      <c r="FI229" s="64"/>
      <c r="FJ229" s="8"/>
      <c r="FK229" s="48"/>
      <c r="FL229" s="48"/>
      <c r="FM229" s="48"/>
      <c r="FN229" s="48"/>
      <c r="FO229" s="48"/>
      <c r="FP229" s="48"/>
      <c r="FQ229" s="48"/>
      <c r="FR229" s="48"/>
      <c r="FS229" s="48"/>
      <c r="FT229" s="48"/>
      <c r="FU229" s="48"/>
      <c r="FV229" s="48"/>
      <c r="FW229" s="48"/>
      <c r="FX229" s="48"/>
      <c r="FY229" s="48"/>
      <c r="FZ229" s="48"/>
      <c r="GA229" s="48"/>
      <c r="GB229" s="48"/>
      <c r="GC229" s="48"/>
      <c r="GD229" s="48"/>
      <c r="GE229" s="48"/>
      <c r="GF229" s="48"/>
      <c r="GG229" s="48"/>
      <c r="GH229" s="48"/>
      <c r="GI229" s="48"/>
      <c r="GJ229" s="8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77"/>
      <c r="GY229" s="77"/>
      <c r="GZ229" s="77"/>
    </row>
    <row r="230" spans="1:208">
      <c r="A230" s="48"/>
      <c r="B230" s="49"/>
      <c r="C230" s="50"/>
      <c r="D230" s="51"/>
      <c r="E230" s="50"/>
      <c r="F230" s="52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90"/>
      <c r="V230" s="91"/>
      <c r="W230" s="92"/>
      <c r="X230" s="92"/>
      <c r="Y230" s="92"/>
      <c r="Z230" s="91"/>
      <c r="AA230" s="93"/>
      <c r="AB230" s="99"/>
      <c r="AC230" s="54"/>
      <c r="AD230" s="54"/>
      <c r="AE230" s="54"/>
      <c r="AF230" s="54"/>
      <c r="AG230" s="54"/>
      <c r="AH230" s="54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113"/>
      <c r="BB230" s="110"/>
      <c r="BC230" s="110"/>
      <c r="BD230" s="110"/>
      <c r="BE230" s="110"/>
      <c r="BF230" s="110"/>
      <c r="BG230" s="110"/>
      <c r="BH230" s="110"/>
      <c r="BI230" s="113"/>
      <c r="BJ230" s="110"/>
      <c r="BK230" s="110"/>
      <c r="BL230" s="110"/>
      <c r="BM230" s="110"/>
      <c r="BN230" s="113"/>
      <c r="BO230" s="110"/>
      <c r="BP230" s="110"/>
      <c r="BQ230" s="110"/>
      <c r="BR230" s="110"/>
      <c r="BS230" s="110"/>
      <c r="BT230" s="110"/>
      <c r="BU230" s="110"/>
      <c r="BV230" s="110"/>
      <c r="BW230" s="110"/>
      <c r="BX230" s="113"/>
      <c r="BY230" s="110"/>
      <c r="BZ230" s="110"/>
      <c r="CA230" s="110"/>
      <c r="CB230" s="110"/>
      <c r="CC230" s="110"/>
      <c r="CD230" s="110"/>
      <c r="CE230" s="110"/>
      <c r="CF230" s="110"/>
      <c r="CG230" s="113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66"/>
      <c r="DA230" s="70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56"/>
      <c r="DR230" s="57"/>
      <c r="DS230" s="58"/>
      <c r="DT230" s="58"/>
      <c r="DU230" s="58"/>
      <c r="DV230" s="58"/>
      <c r="DW230" s="58"/>
      <c r="DX230" s="58"/>
      <c r="DY230" s="58"/>
      <c r="DZ230" s="59"/>
      <c r="EA230" s="60"/>
      <c r="EB230" s="61"/>
      <c r="EC230" s="62"/>
      <c r="ED230" s="2"/>
      <c r="EE230" s="63"/>
      <c r="EF230" s="63"/>
      <c r="EG230" s="63"/>
      <c r="EH230" s="63"/>
      <c r="EI230" s="63"/>
      <c r="EJ230" s="63"/>
      <c r="EK230" s="63"/>
      <c r="EL230" s="63"/>
      <c r="EM230" s="63"/>
      <c r="EN230" s="63"/>
      <c r="EO230" s="63"/>
      <c r="EP230" s="63"/>
      <c r="EQ230" s="63"/>
      <c r="ER230" s="63"/>
      <c r="ES230" s="63"/>
      <c r="ET230" s="63"/>
      <c r="EU230" s="80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5"/>
      <c r="FH230" s="84"/>
      <c r="FI230" s="64"/>
      <c r="FJ230" s="8"/>
      <c r="FK230" s="48"/>
      <c r="FL230" s="48"/>
      <c r="FM230" s="48"/>
      <c r="FN230" s="48"/>
      <c r="FO230" s="48"/>
      <c r="FP230" s="48"/>
      <c r="FQ230" s="48"/>
      <c r="FR230" s="48"/>
      <c r="FS230" s="48"/>
      <c r="FT230" s="48"/>
      <c r="FU230" s="48"/>
      <c r="FV230" s="48"/>
      <c r="FW230" s="48"/>
      <c r="FX230" s="48"/>
      <c r="FY230" s="48"/>
      <c r="FZ230" s="48"/>
      <c r="GA230" s="48"/>
      <c r="GB230" s="48"/>
      <c r="GC230" s="48"/>
      <c r="GD230" s="48"/>
      <c r="GE230" s="48"/>
      <c r="GF230" s="48"/>
      <c r="GG230" s="48"/>
      <c r="GH230" s="48"/>
      <c r="GI230" s="48"/>
      <c r="GJ230" s="8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77"/>
      <c r="GY230" s="77"/>
      <c r="GZ230" s="77"/>
    </row>
    <row r="231" spans="1:208">
      <c r="A231" s="48"/>
      <c r="B231" s="49"/>
      <c r="C231" s="50"/>
      <c r="D231" s="51"/>
      <c r="E231" s="50"/>
      <c r="F231" s="52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90"/>
      <c r="V231" s="91"/>
      <c r="W231" s="92"/>
      <c r="X231" s="92"/>
      <c r="Y231" s="92"/>
      <c r="Z231" s="91"/>
      <c r="AA231" s="93"/>
      <c r="AB231" s="99"/>
      <c r="AC231" s="54"/>
      <c r="AD231" s="54"/>
      <c r="AE231" s="54"/>
      <c r="AF231" s="54"/>
      <c r="AG231" s="54"/>
      <c r="AH231" s="54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113"/>
      <c r="BB231" s="110"/>
      <c r="BC231" s="110"/>
      <c r="BD231" s="110"/>
      <c r="BE231" s="110"/>
      <c r="BF231" s="110"/>
      <c r="BG231" s="110"/>
      <c r="BH231" s="110"/>
      <c r="BI231" s="113"/>
      <c r="BJ231" s="110"/>
      <c r="BK231" s="110"/>
      <c r="BL231" s="110"/>
      <c r="BM231" s="110"/>
      <c r="BN231" s="113"/>
      <c r="BO231" s="110"/>
      <c r="BP231" s="110"/>
      <c r="BQ231" s="110"/>
      <c r="BR231" s="110"/>
      <c r="BS231" s="110"/>
      <c r="BT231" s="110"/>
      <c r="BU231" s="110"/>
      <c r="BV231" s="110"/>
      <c r="BW231" s="110"/>
      <c r="BX231" s="113"/>
      <c r="BY231" s="110"/>
      <c r="BZ231" s="110"/>
      <c r="CA231" s="110"/>
      <c r="CB231" s="110"/>
      <c r="CC231" s="110"/>
      <c r="CD231" s="110"/>
      <c r="CE231" s="110"/>
      <c r="CF231" s="110"/>
      <c r="CG231" s="113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66"/>
      <c r="DA231" s="70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56"/>
      <c r="DR231" s="57"/>
      <c r="DS231" s="58"/>
      <c r="DT231" s="58"/>
      <c r="DU231" s="58"/>
      <c r="DV231" s="58"/>
      <c r="DW231" s="58"/>
      <c r="DX231" s="58"/>
      <c r="DY231" s="58"/>
      <c r="DZ231" s="59"/>
      <c r="EA231" s="60"/>
      <c r="EB231" s="61"/>
      <c r="EC231" s="62"/>
      <c r="ED231" s="2"/>
      <c r="EE231" s="63"/>
      <c r="EF231" s="63"/>
      <c r="EG231" s="63"/>
      <c r="EH231" s="63"/>
      <c r="EI231" s="63"/>
      <c r="EJ231" s="63"/>
      <c r="EK231" s="63"/>
      <c r="EL231" s="63"/>
      <c r="EM231" s="63"/>
      <c r="EN231" s="63"/>
      <c r="EO231" s="63"/>
      <c r="EP231" s="63"/>
      <c r="EQ231" s="63"/>
      <c r="ER231" s="63"/>
      <c r="ES231" s="63"/>
      <c r="ET231" s="63"/>
      <c r="EU231" s="80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5"/>
      <c r="FH231" s="84"/>
      <c r="FI231" s="64"/>
      <c r="FJ231" s="8"/>
      <c r="FK231" s="48"/>
      <c r="FL231" s="48"/>
      <c r="FM231" s="48"/>
      <c r="FN231" s="48"/>
      <c r="FO231" s="48"/>
      <c r="FP231" s="48"/>
      <c r="FQ231" s="48"/>
      <c r="FR231" s="48"/>
      <c r="FS231" s="48"/>
      <c r="FT231" s="48"/>
      <c r="FU231" s="48"/>
      <c r="FV231" s="48"/>
      <c r="FW231" s="48"/>
      <c r="FX231" s="48"/>
      <c r="FY231" s="48"/>
      <c r="FZ231" s="48"/>
      <c r="GA231" s="48"/>
      <c r="GB231" s="48"/>
      <c r="GC231" s="48"/>
      <c r="GD231" s="48"/>
      <c r="GE231" s="48"/>
      <c r="GF231" s="48"/>
      <c r="GG231" s="48"/>
      <c r="GH231" s="48"/>
      <c r="GI231" s="48"/>
      <c r="GJ231" s="8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77"/>
      <c r="GY231" s="77"/>
      <c r="GZ231" s="77"/>
    </row>
    <row r="232" spans="1:208">
      <c r="A232" s="48"/>
      <c r="B232" s="49"/>
      <c r="C232" s="50"/>
      <c r="D232" s="51"/>
      <c r="E232" s="50"/>
      <c r="F232" s="52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90"/>
      <c r="V232" s="91"/>
      <c r="W232" s="92"/>
      <c r="X232" s="92"/>
      <c r="Y232" s="92"/>
      <c r="Z232" s="91"/>
      <c r="AA232" s="93"/>
      <c r="AB232" s="99"/>
      <c r="AC232" s="54"/>
      <c r="AD232" s="54"/>
      <c r="AE232" s="54"/>
      <c r="AF232" s="54"/>
      <c r="AG232" s="54"/>
      <c r="AH232" s="54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113"/>
      <c r="BB232" s="110"/>
      <c r="BC232" s="110"/>
      <c r="BD232" s="110"/>
      <c r="BE232" s="110"/>
      <c r="BF232" s="110"/>
      <c r="BG232" s="110"/>
      <c r="BH232" s="110"/>
      <c r="BI232" s="113"/>
      <c r="BJ232" s="110"/>
      <c r="BK232" s="110"/>
      <c r="BL232" s="110"/>
      <c r="BM232" s="110"/>
      <c r="BN232" s="113"/>
      <c r="BO232" s="110"/>
      <c r="BP232" s="110"/>
      <c r="BQ232" s="110"/>
      <c r="BR232" s="110"/>
      <c r="BS232" s="110"/>
      <c r="BT232" s="110"/>
      <c r="BU232" s="110"/>
      <c r="BV232" s="110"/>
      <c r="BW232" s="110"/>
      <c r="BX232" s="113"/>
      <c r="BY232" s="110"/>
      <c r="BZ232" s="110"/>
      <c r="CA232" s="110"/>
      <c r="CB232" s="110"/>
      <c r="CC232" s="110"/>
      <c r="CD232" s="110"/>
      <c r="CE232" s="110"/>
      <c r="CF232" s="110"/>
      <c r="CG232" s="113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66"/>
      <c r="DA232" s="70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56"/>
      <c r="DR232" s="57"/>
      <c r="DS232" s="58"/>
      <c r="DT232" s="58"/>
      <c r="DU232" s="58"/>
      <c r="DV232" s="58"/>
      <c r="DW232" s="58"/>
      <c r="DX232" s="58"/>
      <c r="DY232" s="58"/>
      <c r="DZ232" s="59"/>
      <c r="EA232" s="60"/>
      <c r="EB232" s="61"/>
      <c r="EC232" s="62"/>
      <c r="ED232" s="2"/>
      <c r="EE232" s="63"/>
      <c r="EF232" s="63"/>
      <c r="EG232" s="63"/>
      <c r="EH232" s="63"/>
      <c r="EI232" s="63"/>
      <c r="EJ232" s="63"/>
      <c r="EK232" s="63"/>
      <c r="EL232" s="63"/>
      <c r="EM232" s="63"/>
      <c r="EN232" s="63"/>
      <c r="EO232" s="63"/>
      <c r="EP232" s="63"/>
      <c r="EQ232" s="63"/>
      <c r="ER232" s="63"/>
      <c r="ES232" s="63"/>
      <c r="ET232" s="63"/>
      <c r="EU232" s="80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5"/>
      <c r="FH232" s="84"/>
      <c r="FI232" s="64"/>
      <c r="FJ232" s="8"/>
      <c r="FK232" s="48"/>
      <c r="FL232" s="48"/>
      <c r="FM232" s="48"/>
      <c r="FN232" s="48"/>
      <c r="FO232" s="48"/>
      <c r="FP232" s="48"/>
      <c r="FQ232" s="48"/>
      <c r="FR232" s="48"/>
      <c r="FS232" s="48"/>
      <c r="FT232" s="48"/>
      <c r="FU232" s="48"/>
      <c r="FV232" s="48"/>
      <c r="FW232" s="48"/>
      <c r="FX232" s="48"/>
      <c r="FY232" s="48"/>
      <c r="FZ232" s="48"/>
      <c r="GA232" s="48"/>
      <c r="GB232" s="48"/>
      <c r="GC232" s="48"/>
      <c r="GD232" s="48"/>
      <c r="GE232" s="48"/>
      <c r="GF232" s="48"/>
      <c r="GG232" s="48"/>
      <c r="GH232" s="48"/>
      <c r="GI232" s="48"/>
      <c r="GJ232" s="8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77"/>
      <c r="GY232" s="77"/>
      <c r="GZ232" s="77"/>
    </row>
    <row r="233" spans="1:208">
      <c r="A233" s="48"/>
      <c r="B233" s="49"/>
      <c r="C233" s="50"/>
      <c r="D233" s="51"/>
      <c r="E233" s="50"/>
      <c r="F233" s="52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90"/>
      <c r="V233" s="91"/>
      <c r="W233" s="92"/>
      <c r="X233" s="92"/>
      <c r="Y233" s="92"/>
      <c r="Z233" s="91"/>
      <c r="AA233" s="93"/>
      <c r="AB233" s="99"/>
      <c r="AC233" s="54"/>
      <c r="AD233" s="54"/>
      <c r="AE233" s="54"/>
      <c r="AF233" s="54"/>
      <c r="AG233" s="54"/>
      <c r="AH233" s="54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113"/>
      <c r="BB233" s="110"/>
      <c r="BC233" s="110"/>
      <c r="BD233" s="110"/>
      <c r="BE233" s="110"/>
      <c r="BF233" s="110"/>
      <c r="BG233" s="110"/>
      <c r="BH233" s="110"/>
      <c r="BI233" s="113"/>
      <c r="BJ233" s="110"/>
      <c r="BK233" s="110"/>
      <c r="BL233" s="110"/>
      <c r="BM233" s="110"/>
      <c r="BN233" s="113"/>
      <c r="BO233" s="110"/>
      <c r="BP233" s="110"/>
      <c r="BQ233" s="110"/>
      <c r="BR233" s="110"/>
      <c r="BS233" s="110"/>
      <c r="BT233" s="110"/>
      <c r="BU233" s="110"/>
      <c r="BV233" s="110"/>
      <c r="BW233" s="110"/>
      <c r="BX233" s="113"/>
      <c r="BY233" s="110"/>
      <c r="BZ233" s="110"/>
      <c r="CA233" s="110"/>
      <c r="CB233" s="110"/>
      <c r="CC233" s="110"/>
      <c r="CD233" s="110"/>
      <c r="CE233" s="110"/>
      <c r="CF233" s="110"/>
      <c r="CG233" s="113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66"/>
      <c r="DA233" s="70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56"/>
      <c r="DR233" s="57"/>
      <c r="DS233" s="58"/>
      <c r="DT233" s="58"/>
      <c r="DU233" s="58"/>
      <c r="DV233" s="58"/>
      <c r="DW233" s="58"/>
      <c r="DX233" s="58"/>
      <c r="DY233" s="58"/>
      <c r="DZ233" s="59"/>
      <c r="EA233" s="60"/>
      <c r="EB233" s="61"/>
      <c r="EC233" s="62"/>
      <c r="ED233" s="2"/>
      <c r="EE233" s="63"/>
      <c r="EF233" s="63"/>
      <c r="EG233" s="63"/>
      <c r="EH233" s="63"/>
      <c r="EI233" s="63"/>
      <c r="EJ233" s="63"/>
      <c r="EK233" s="63"/>
      <c r="EL233" s="63"/>
      <c r="EM233" s="63"/>
      <c r="EN233" s="63"/>
      <c r="EO233" s="63"/>
      <c r="EP233" s="63"/>
      <c r="EQ233" s="63"/>
      <c r="ER233" s="63"/>
      <c r="ES233" s="63"/>
      <c r="ET233" s="63"/>
      <c r="EU233" s="80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5"/>
      <c r="FH233" s="84"/>
      <c r="FI233" s="64"/>
      <c r="FJ233" s="8"/>
      <c r="FK233" s="48"/>
      <c r="FL233" s="48"/>
      <c r="FM233" s="48"/>
      <c r="FN233" s="48"/>
      <c r="FO233" s="48"/>
      <c r="FP233" s="48"/>
      <c r="FQ233" s="48"/>
      <c r="FR233" s="48"/>
      <c r="FS233" s="48"/>
      <c r="FT233" s="48"/>
      <c r="FU233" s="48"/>
      <c r="FV233" s="48"/>
      <c r="FW233" s="48"/>
      <c r="FX233" s="48"/>
      <c r="FY233" s="48"/>
      <c r="FZ233" s="48"/>
      <c r="GA233" s="48"/>
      <c r="GB233" s="48"/>
      <c r="GC233" s="48"/>
      <c r="GD233" s="48"/>
      <c r="GE233" s="48"/>
      <c r="GF233" s="48"/>
      <c r="GG233" s="48"/>
      <c r="GH233" s="48"/>
      <c r="GI233" s="48"/>
      <c r="GJ233" s="8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77"/>
      <c r="GY233" s="77"/>
      <c r="GZ233" s="77"/>
    </row>
    <row r="234" spans="1:208">
      <c r="A234" s="48"/>
      <c r="B234" s="49"/>
      <c r="C234" s="50"/>
      <c r="D234" s="51"/>
      <c r="E234" s="50"/>
      <c r="F234" s="52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90"/>
      <c r="V234" s="91"/>
      <c r="W234" s="92"/>
      <c r="X234" s="92"/>
      <c r="Y234" s="92"/>
      <c r="Z234" s="91"/>
      <c r="AA234" s="93"/>
      <c r="AB234" s="99"/>
      <c r="AC234" s="54"/>
      <c r="AD234" s="54"/>
      <c r="AE234" s="54"/>
      <c r="AF234" s="54"/>
      <c r="AG234" s="54"/>
      <c r="AH234" s="54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113"/>
      <c r="BB234" s="110"/>
      <c r="BC234" s="110"/>
      <c r="BD234" s="110"/>
      <c r="BE234" s="110"/>
      <c r="BF234" s="110"/>
      <c r="BG234" s="110"/>
      <c r="BH234" s="110"/>
      <c r="BI234" s="113"/>
      <c r="BJ234" s="110"/>
      <c r="BK234" s="110"/>
      <c r="BL234" s="110"/>
      <c r="BM234" s="110"/>
      <c r="BN234" s="113"/>
      <c r="BO234" s="110"/>
      <c r="BP234" s="110"/>
      <c r="BQ234" s="110"/>
      <c r="BR234" s="110"/>
      <c r="BS234" s="110"/>
      <c r="BT234" s="110"/>
      <c r="BU234" s="110"/>
      <c r="BV234" s="110"/>
      <c r="BW234" s="110"/>
      <c r="BX234" s="113"/>
      <c r="BY234" s="110"/>
      <c r="BZ234" s="110"/>
      <c r="CA234" s="110"/>
      <c r="CB234" s="110"/>
      <c r="CC234" s="110"/>
      <c r="CD234" s="110"/>
      <c r="CE234" s="110"/>
      <c r="CF234" s="110"/>
      <c r="CG234" s="113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66"/>
      <c r="DA234" s="70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56"/>
      <c r="DR234" s="57"/>
      <c r="DS234" s="58"/>
      <c r="DT234" s="58"/>
      <c r="DU234" s="58"/>
      <c r="DV234" s="58"/>
      <c r="DW234" s="58"/>
      <c r="DX234" s="58"/>
      <c r="DY234" s="58"/>
      <c r="DZ234" s="59"/>
      <c r="EA234" s="60"/>
      <c r="EB234" s="61"/>
      <c r="EC234" s="62"/>
      <c r="ED234" s="2"/>
      <c r="EE234" s="63"/>
      <c r="EF234" s="63"/>
      <c r="EG234" s="63"/>
      <c r="EH234" s="63"/>
      <c r="EI234" s="63"/>
      <c r="EJ234" s="63"/>
      <c r="EK234" s="63"/>
      <c r="EL234" s="63"/>
      <c r="EM234" s="63"/>
      <c r="EN234" s="63"/>
      <c r="EO234" s="63"/>
      <c r="EP234" s="63"/>
      <c r="EQ234" s="63"/>
      <c r="ER234" s="63"/>
      <c r="ES234" s="63"/>
      <c r="ET234" s="63"/>
      <c r="EU234" s="80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5"/>
      <c r="FH234" s="84"/>
      <c r="FI234" s="64"/>
      <c r="FJ234" s="8"/>
      <c r="FK234" s="48"/>
      <c r="FL234" s="48"/>
      <c r="FM234" s="48"/>
      <c r="FN234" s="48"/>
      <c r="FO234" s="48"/>
      <c r="FP234" s="48"/>
      <c r="FQ234" s="48"/>
      <c r="FR234" s="48"/>
      <c r="FS234" s="48"/>
      <c r="FT234" s="48"/>
      <c r="FU234" s="48"/>
      <c r="FV234" s="48"/>
      <c r="FW234" s="48"/>
      <c r="FX234" s="48"/>
      <c r="FY234" s="48"/>
      <c r="FZ234" s="48"/>
      <c r="GA234" s="48"/>
      <c r="GB234" s="48"/>
      <c r="GC234" s="48"/>
      <c r="GD234" s="48"/>
      <c r="GE234" s="48"/>
      <c r="GF234" s="48"/>
      <c r="GG234" s="48"/>
      <c r="GH234" s="48"/>
      <c r="GI234" s="48"/>
      <c r="GJ234" s="8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77"/>
      <c r="GY234" s="77"/>
      <c r="GZ234" s="77"/>
    </row>
    <row r="235" spans="1:208">
      <c r="A235" s="48"/>
      <c r="B235" s="49"/>
      <c r="C235" s="50"/>
      <c r="D235" s="51"/>
      <c r="E235" s="50"/>
      <c r="F235" s="52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90"/>
      <c r="V235" s="91"/>
      <c r="W235" s="92"/>
      <c r="X235" s="92"/>
      <c r="Y235" s="92"/>
      <c r="Z235" s="91"/>
      <c r="AA235" s="93"/>
      <c r="AB235" s="99"/>
      <c r="AC235" s="54"/>
      <c r="AD235" s="54"/>
      <c r="AE235" s="54"/>
      <c r="AF235" s="54"/>
      <c r="AG235" s="54"/>
      <c r="AH235" s="54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113"/>
      <c r="BB235" s="110"/>
      <c r="BC235" s="110"/>
      <c r="BD235" s="110"/>
      <c r="BE235" s="110"/>
      <c r="BF235" s="110"/>
      <c r="BG235" s="110"/>
      <c r="BH235" s="110"/>
      <c r="BI235" s="113"/>
      <c r="BJ235" s="110"/>
      <c r="BK235" s="110"/>
      <c r="BL235" s="110"/>
      <c r="BM235" s="110"/>
      <c r="BN235" s="113"/>
      <c r="BO235" s="110"/>
      <c r="BP235" s="110"/>
      <c r="BQ235" s="110"/>
      <c r="BR235" s="110"/>
      <c r="BS235" s="110"/>
      <c r="BT235" s="110"/>
      <c r="BU235" s="110"/>
      <c r="BV235" s="110"/>
      <c r="BW235" s="110"/>
      <c r="BX235" s="113"/>
      <c r="BY235" s="110"/>
      <c r="BZ235" s="110"/>
      <c r="CA235" s="110"/>
      <c r="CB235" s="110"/>
      <c r="CC235" s="110"/>
      <c r="CD235" s="110"/>
      <c r="CE235" s="110"/>
      <c r="CF235" s="110"/>
      <c r="CG235" s="113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66"/>
      <c r="DA235" s="70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56"/>
      <c r="DR235" s="57"/>
      <c r="DS235" s="58"/>
      <c r="DT235" s="58"/>
      <c r="DU235" s="58"/>
      <c r="DV235" s="58"/>
      <c r="DW235" s="58"/>
      <c r="DX235" s="58"/>
      <c r="DY235" s="58"/>
      <c r="DZ235" s="59"/>
      <c r="EA235" s="60"/>
      <c r="EB235" s="61"/>
      <c r="EC235" s="62"/>
      <c r="ED235" s="2"/>
      <c r="EE235" s="63"/>
      <c r="EF235" s="63"/>
      <c r="EG235" s="63"/>
      <c r="EH235" s="63"/>
      <c r="EI235" s="63"/>
      <c r="EJ235" s="63"/>
      <c r="EK235" s="63"/>
      <c r="EL235" s="63"/>
      <c r="EM235" s="63"/>
      <c r="EN235" s="63"/>
      <c r="EO235" s="63"/>
      <c r="EP235" s="63"/>
      <c r="EQ235" s="63"/>
      <c r="ER235" s="63"/>
      <c r="ES235" s="63"/>
      <c r="ET235" s="63"/>
      <c r="EU235" s="80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5"/>
      <c r="FH235" s="84"/>
      <c r="FI235" s="64"/>
      <c r="FJ235" s="8"/>
      <c r="FK235" s="48"/>
      <c r="FL235" s="48"/>
      <c r="FM235" s="48"/>
      <c r="FN235" s="48"/>
      <c r="FO235" s="48"/>
      <c r="FP235" s="48"/>
      <c r="FQ235" s="48"/>
      <c r="FR235" s="48"/>
      <c r="FS235" s="48"/>
      <c r="FT235" s="48"/>
      <c r="FU235" s="48"/>
      <c r="FV235" s="48"/>
      <c r="FW235" s="48"/>
      <c r="FX235" s="48"/>
      <c r="FY235" s="48"/>
      <c r="FZ235" s="48"/>
      <c r="GA235" s="48"/>
      <c r="GB235" s="48"/>
      <c r="GC235" s="48"/>
      <c r="GD235" s="48"/>
      <c r="GE235" s="48"/>
      <c r="GF235" s="48"/>
      <c r="GG235" s="48"/>
      <c r="GH235" s="48"/>
      <c r="GI235" s="48"/>
      <c r="GJ235" s="8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77"/>
      <c r="GY235" s="77"/>
      <c r="GZ235" s="77"/>
    </row>
    <row r="236" spans="1:208">
      <c r="A236" s="48"/>
      <c r="B236" s="49"/>
      <c r="C236" s="50"/>
      <c r="D236" s="51"/>
      <c r="E236" s="50"/>
      <c r="F236" s="52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90"/>
      <c r="V236" s="91"/>
      <c r="W236" s="92"/>
      <c r="X236" s="92"/>
      <c r="Y236" s="92"/>
      <c r="Z236" s="91"/>
      <c r="AA236" s="93"/>
      <c r="AB236" s="99"/>
      <c r="AC236" s="54"/>
      <c r="AD236" s="54"/>
      <c r="AE236" s="54"/>
      <c r="AF236" s="54"/>
      <c r="AG236" s="54"/>
      <c r="AH236" s="54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113"/>
      <c r="BB236" s="110"/>
      <c r="BC236" s="110"/>
      <c r="BD236" s="110"/>
      <c r="BE236" s="110"/>
      <c r="BF236" s="110"/>
      <c r="BG236" s="110"/>
      <c r="BH236" s="110"/>
      <c r="BI236" s="113"/>
      <c r="BJ236" s="110"/>
      <c r="BK236" s="110"/>
      <c r="BL236" s="110"/>
      <c r="BM236" s="110"/>
      <c r="BN236" s="113"/>
      <c r="BO236" s="110"/>
      <c r="BP236" s="110"/>
      <c r="BQ236" s="110"/>
      <c r="BR236" s="110"/>
      <c r="BS236" s="110"/>
      <c r="BT236" s="110"/>
      <c r="BU236" s="110"/>
      <c r="BV236" s="110"/>
      <c r="BW236" s="110"/>
      <c r="BX236" s="113"/>
      <c r="BY236" s="110"/>
      <c r="BZ236" s="110"/>
      <c r="CA236" s="110"/>
      <c r="CB236" s="110"/>
      <c r="CC236" s="110"/>
      <c r="CD236" s="110"/>
      <c r="CE236" s="110"/>
      <c r="CF236" s="110"/>
      <c r="CG236" s="113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66"/>
      <c r="DA236" s="70"/>
      <c r="DB236" s="95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56"/>
      <c r="DR236" s="57"/>
      <c r="DS236" s="58"/>
      <c r="DT236" s="58"/>
      <c r="DU236" s="58"/>
      <c r="DV236" s="58"/>
      <c r="DW236" s="58"/>
      <c r="DX236" s="58"/>
      <c r="DY236" s="58"/>
      <c r="DZ236" s="59"/>
      <c r="EA236" s="60"/>
      <c r="EB236" s="61"/>
      <c r="EC236" s="62"/>
      <c r="ED236" s="2"/>
      <c r="EE236" s="63"/>
      <c r="EF236" s="63"/>
      <c r="EG236" s="63"/>
      <c r="EH236" s="63"/>
      <c r="EI236" s="63"/>
      <c r="EJ236" s="63"/>
      <c r="EK236" s="63"/>
      <c r="EL236" s="63"/>
      <c r="EM236" s="63"/>
      <c r="EN236" s="63"/>
      <c r="EO236" s="63"/>
      <c r="EP236" s="63"/>
      <c r="EQ236" s="63"/>
      <c r="ER236" s="63"/>
      <c r="ES236" s="63"/>
      <c r="ET236" s="63"/>
      <c r="EU236" s="80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5"/>
      <c r="FH236" s="84"/>
      <c r="FI236" s="64"/>
      <c r="FJ236" s="8"/>
      <c r="FK236" s="48"/>
      <c r="FL236" s="48"/>
      <c r="FM236" s="48"/>
      <c r="FN236" s="48"/>
      <c r="FO236" s="48"/>
      <c r="FP236" s="48"/>
      <c r="FQ236" s="48"/>
      <c r="FR236" s="48"/>
      <c r="FS236" s="48"/>
      <c r="FT236" s="48"/>
      <c r="FU236" s="48"/>
      <c r="FV236" s="48"/>
      <c r="FW236" s="48"/>
      <c r="FX236" s="48"/>
      <c r="FY236" s="48"/>
      <c r="FZ236" s="48"/>
      <c r="GA236" s="48"/>
      <c r="GB236" s="48"/>
      <c r="GC236" s="48"/>
      <c r="GD236" s="48"/>
      <c r="GE236" s="48"/>
      <c r="GF236" s="48"/>
      <c r="GG236" s="48"/>
      <c r="GH236" s="48"/>
      <c r="GI236" s="48"/>
      <c r="GJ236" s="8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77"/>
      <c r="GY236" s="77"/>
      <c r="GZ236" s="77"/>
    </row>
    <row r="237" spans="1:208">
      <c r="A237" s="48"/>
      <c r="B237" s="49"/>
      <c r="C237" s="50"/>
      <c r="D237" s="51"/>
      <c r="E237" s="50"/>
      <c r="F237" s="52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90"/>
      <c r="V237" s="91"/>
      <c r="W237" s="92"/>
      <c r="X237" s="92"/>
      <c r="Y237" s="92"/>
      <c r="Z237" s="91"/>
      <c r="AA237" s="93"/>
      <c r="AB237" s="99"/>
      <c r="AC237" s="54"/>
      <c r="AD237" s="54"/>
      <c r="AE237" s="54"/>
      <c r="AF237" s="54"/>
      <c r="AG237" s="54"/>
      <c r="AH237" s="54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113"/>
      <c r="BB237" s="110"/>
      <c r="BC237" s="110"/>
      <c r="BD237" s="110"/>
      <c r="BE237" s="110"/>
      <c r="BF237" s="110"/>
      <c r="BG237" s="110"/>
      <c r="BH237" s="110"/>
      <c r="BI237" s="113"/>
      <c r="BJ237" s="110"/>
      <c r="BK237" s="110"/>
      <c r="BL237" s="110"/>
      <c r="BM237" s="110"/>
      <c r="BN237" s="113"/>
      <c r="BO237" s="110"/>
      <c r="BP237" s="110"/>
      <c r="BQ237" s="110"/>
      <c r="BR237" s="110"/>
      <c r="BS237" s="110"/>
      <c r="BT237" s="110"/>
      <c r="BU237" s="110"/>
      <c r="BV237" s="110"/>
      <c r="BW237" s="110"/>
      <c r="BX237" s="113"/>
      <c r="BY237" s="110"/>
      <c r="BZ237" s="110"/>
      <c r="CA237" s="110"/>
      <c r="CB237" s="110"/>
      <c r="CC237" s="110"/>
      <c r="CD237" s="110"/>
      <c r="CE237" s="110"/>
      <c r="CF237" s="110"/>
      <c r="CG237" s="113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66"/>
      <c r="DA237" s="70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56"/>
      <c r="DR237" s="57"/>
      <c r="DS237" s="58"/>
      <c r="DT237" s="58"/>
      <c r="DU237" s="58"/>
      <c r="DV237" s="58"/>
      <c r="DW237" s="58"/>
      <c r="DX237" s="58"/>
      <c r="DY237" s="58"/>
      <c r="DZ237" s="59"/>
      <c r="EA237" s="60"/>
      <c r="EB237" s="61"/>
      <c r="EC237" s="62"/>
      <c r="ED237" s="2"/>
      <c r="EE237" s="63"/>
      <c r="EF237" s="63"/>
      <c r="EG237" s="63"/>
      <c r="EH237" s="63"/>
      <c r="EI237" s="63"/>
      <c r="EJ237" s="63"/>
      <c r="EK237" s="63"/>
      <c r="EL237" s="63"/>
      <c r="EM237" s="63"/>
      <c r="EN237" s="63"/>
      <c r="EO237" s="63"/>
      <c r="EP237" s="63"/>
      <c r="EQ237" s="63"/>
      <c r="ER237" s="63"/>
      <c r="ES237" s="63"/>
      <c r="ET237" s="63"/>
      <c r="EU237" s="80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5"/>
      <c r="FH237" s="84"/>
      <c r="FI237" s="64"/>
      <c r="FJ237" s="8"/>
      <c r="FK237" s="48"/>
      <c r="FL237" s="48"/>
      <c r="FM237" s="48"/>
      <c r="FN237" s="48"/>
      <c r="FO237" s="48"/>
      <c r="FP237" s="48"/>
      <c r="FQ237" s="48"/>
      <c r="FR237" s="48"/>
      <c r="FS237" s="48"/>
      <c r="FT237" s="48"/>
      <c r="FU237" s="48"/>
      <c r="FV237" s="48"/>
      <c r="FW237" s="48"/>
      <c r="FX237" s="48"/>
      <c r="FY237" s="48"/>
      <c r="FZ237" s="48"/>
      <c r="GA237" s="48"/>
      <c r="GB237" s="48"/>
      <c r="GC237" s="48"/>
      <c r="GD237" s="48"/>
      <c r="GE237" s="48"/>
      <c r="GF237" s="48"/>
      <c r="GG237" s="48"/>
      <c r="GH237" s="48"/>
      <c r="GI237" s="48"/>
      <c r="GJ237" s="8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77"/>
      <c r="GY237" s="77"/>
      <c r="GZ237" s="77"/>
    </row>
    <row r="238" spans="1:208">
      <c r="A238" s="48"/>
      <c r="B238" s="49"/>
      <c r="C238" s="50"/>
      <c r="D238" s="51"/>
      <c r="E238" s="50"/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90"/>
      <c r="V238" s="91"/>
      <c r="W238" s="92"/>
      <c r="X238" s="92"/>
      <c r="Y238" s="92"/>
      <c r="Z238" s="91"/>
      <c r="AA238" s="93"/>
      <c r="AB238" s="99"/>
      <c r="AC238" s="54"/>
      <c r="AD238" s="54"/>
      <c r="AE238" s="54"/>
      <c r="AF238" s="54"/>
      <c r="AG238" s="54"/>
      <c r="AH238" s="54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113"/>
      <c r="BB238" s="110"/>
      <c r="BC238" s="110"/>
      <c r="BD238" s="110"/>
      <c r="BE238" s="110"/>
      <c r="BF238" s="110"/>
      <c r="BG238" s="110"/>
      <c r="BH238" s="110"/>
      <c r="BI238" s="113"/>
      <c r="BJ238" s="110"/>
      <c r="BK238" s="110"/>
      <c r="BL238" s="110"/>
      <c r="BM238" s="110"/>
      <c r="BN238" s="113"/>
      <c r="BO238" s="110"/>
      <c r="BP238" s="110"/>
      <c r="BQ238" s="110"/>
      <c r="BR238" s="110"/>
      <c r="BS238" s="110"/>
      <c r="BT238" s="110"/>
      <c r="BU238" s="110"/>
      <c r="BV238" s="110"/>
      <c r="BW238" s="110"/>
      <c r="BX238" s="113"/>
      <c r="BY238" s="110"/>
      <c r="BZ238" s="110"/>
      <c r="CA238" s="110"/>
      <c r="CB238" s="110"/>
      <c r="CC238" s="110"/>
      <c r="CD238" s="110"/>
      <c r="CE238" s="110"/>
      <c r="CF238" s="110"/>
      <c r="CG238" s="113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66"/>
      <c r="DA238" s="70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56"/>
      <c r="DR238" s="57"/>
      <c r="DS238" s="58"/>
      <c r="DT238" s="58"/>
      <c r="DU238" s="58"/>
      <c r="DV238" s="58"/>
      <c r="DW238" s="58"/>
      <c r="DX238" s="58"/>
      <c r="DY238" s="58"/>
      <c r="DZ238" s="59"/>
      <c r="EA238" s="60"/>
      <c r="EB238" s="61"/>
      <c r="EC238" s="62"/>
      <c r="ED238" s="2"/>
      <c r="EE238" s="63"/>
      <c r="EF238" s="63"/>
      <c r="EG238" s="63"/>
      <c r="EH238" s="63"/>
      <c r="EI238" s="63"/>
      <c r="EJ238" s="63"/>
      <c r="EK238" s="63"/>
      <c r="EL238" s="63"/>
      <c r="EM238" s="63"/>
      <c r="EN238" s="63"/>
      <c r="EO238" s="63"/>
      <c r="EP238" s="63"/>
      <c r="EQ238" s="63"/>
      <c r="ER238" s="63"/>
      <c r="ES238" s="63"/>
      <c r="ET238" s="63"/>
      <c r="EU238" s="80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5"/>
      <c r="FH238" s="84"/>
      <c r="FI238" s="64"/>
      <c r="FJ238" s="8"/>
      <c r="FK238" s="48"/>
      <c r="FL238" s="48"/>
      <c r="FM238" s="48"/>
      <c r="FN238" s="48"/>
      <c r="FO238" s="48"/>
      <c r="FP238" s="48"/>
      <c r="FQ238" s="48"/>
      <c r="FR238" s="48"/>
      <c r="FS238" s="48"/>
      <c r="FT238" s="48"/>
      <c r="FU238" s="48"/>
      <c r="FV238" s="48"/>
      <c r="FW238" s="48"/>
      <c r="FX238" s="48"/>
      <c r="FY238" s="48"/>
      <c r="FZ238" s="48"/>
      <c r="GA238" s="48"/>
      <c r="GB238" s="48"/>
      <c r="GC238" s="48"/>
      <c r="GD238" s="48"/>
      <c r="GE238" s="48"/>
      <c r="GF238" s="48"/>
      <c r="GG238" s="48"/>
      <c r="GH238" s="48"/>
      <c r="GI238" s="48"/>
      <c r="GJ238" s="8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77"/>
      <c r="GY238" s="77"/>
      <c r="GZ238" s="77"/>
    </row>
    <row r="239" spans="1:208">
      <c r="A239" s="48"/>
      <c r="B239" s="49"/>
      <c r="C239" s="50"/>
      <c r="D239" s="51"/>
      <c r="E239" s="50"/>
      <c r="F239" s="52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90"/>
      <c r="V239" s="91"/>
      <c r="W239" s="92"/>
      <c r="X239" s="92"/>
      <c r="Y239" s="92"/>
      <c r="Z239" s="91"/>
      <c r="AA239" s="93"/>
      <c r="AB239" s="99"/>
      <c r="AC239" s="54"/>
      <c r="AD239" s="54"/>
      <c r="AE239" s="54"/>
      <c r="AF239" s="54"/>
      <c r="AG239" s="54"/>
      <c r="AH239" s="54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113"/>
      <c r="BB239" s="110"/>
      <c r="BC239" s="110"/>
      <c r="BD239" s="110"/>
      <c r="BE239" s="110"/>
      <c r="BF239" s="110"/>
      <c r="BG239" s="110"/>
      <c r="BH239" s="110"/>
      <c r="BI239" s="113"/>
      <c r="BJ239" s="110"/>
      <c r="BK239" s="110"/>
      <c r="BL239" s="110"/>
      <c r="BM239" s="110"/>
      <c r="BN239" s="113"/>
      <c r="BO239" s="110"/>
      <c r="BP239" s="110"/>
      <c r="BQ239" s="110"/>
      <c r="BR239" s="110"/>
      <c r="BS239" s="110"/>
      <c r="BT239" s="110"/>
      <c r="BU239" s="110"/>
      <c r="BV239" s="110"/>
      <c r="BW239" s="110"/>
      <c r="BX239" s="113"/>
      <c r="BY239" s="110"/>
      <c r="BZ239" s="110"/>
      <c r="CA239" s="110"/>
      <c r="CB239" s="110"/>
      <c r="CC239" s="110"/>
      <c r="CD239" s="110"/>
      <c r="CE239" s="110"/>
      <c r="CF239" s="110"/>
      <c r="CG239" s="113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66"/>
      <c r="DA239" s="70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56"/>
      <c r="DR239" s="57"/>
      <c r="DS239" s="58"/>
      <c r="DT239" s="58"/>
      <c r="DU239" s="58"/>
      <c r="DV239" s="58"/>
      <c r="DW239" s="58"/>
      <c r="DX239" s="58"/>
      <c r="DY239" s="58"/>
      <c r="DZ239" s="59"/>
      <c r="EA239" s="60"/>
      <c r="EB239" s="61"/>
      <c r="EC239" s="62"/>
      <c r="ED239" s="2"/>
      <c r="EE239" s="63"/>
      <c r="EF239" s="63"/>
      <c r="EG239" s="63"/>
      <c r="EH239" s="63"/>
      <c r="EI239" s="63"/>
      <c r="EJ239" s="63"/>
      <c r="EK239" s="63"/>
      <c r="EL239" s="63"/>
      <c r="EM239" s="63"/>
      <c r="EN239" s="63"/>
      <c r="EO239" s="63"/>
      <c r="EP239" s="63"/>
      <c r="EQ239" s="63"/>
      <c r="ER239" s="63"/>
      <c r="ES239" s="63"/>
      <c r="ET239" s="63"/>
      <c r="EU239" s="80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5"/>
      <c r="FH239" s="84"/>
      <c r="FI239" s="64"/>
      <c r="FJ239" s="8"/>
      <c r="FK239" s="48"/>
      <c r="FL239" s="48"/>
      <c r="FM239" s="48"/>
      <c r="FN239" s="48"/>
      <c r="FO239" s="48"/>
      <c r="FP239" s="48"/>
      <c r="FQ239" s="48"/>
      <c r="FR239" s="48"/>
      <c r="FS239" s="48"/>
      <c r="FT239" s="48"/>
      <c r="FU239" s="48"/>
      <c r="FV239" s="48"/>
      <c r="FW239" s="48"/>
      <c r="FX239" s="48"/>
      <c r="FY239" s="48"/>
      <c r="FZ239" s="48"/>
      <c r="GA239" s="48"/>
      <c r="GB239" s="48"/>
      <c r="GC239" s="48"/>
      <c r="GD239" s="48"/>
      <c r="GE239" s="48"/>
      <c r="GF239" s="48"/>
      <c r="GG239" s="48"/>
      <c r="GH239" s="48"/>
      <c r="GI239" s="48"/>
      <c r="GJ239" s="8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77"/>
      <c r="GY239" s="77"/>
      <c r="GZ239" s="77"/>
    </row>
    <row r="240" spans="1:208">
      <c r="A240" s="48"/>
      <c r="B240" s="49"/>
      <c r="C240" s="50"/>
      <c r="D240" s="51"/>
      <c r="E240" s="50"/>
      <c r="F240" s="52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90"/>
      <c r="V240" s="91"/>
      <c r="W240" s="92"/>
      <c r="X240" s="92"/>
      <c r="Y240" s="92"/>
      <c r="Z240" s="91"/>
      <c r="AA240" s="93"/>
      <c r="AB240" s="99"/>
      <c r="AC240" s="54"/>
      <c r="AD240" s="54"/>
      <c r="AE240" s="54"/>
      <c r="AF240" s="54"/>
      <c r="AG240" s="54"/>
      <c r="AH240" s="54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113"/>
      <c r="BB240" s="110"/>
      <c r="BC240" s="110"/>
      <c r="BD240" s="110"/>
      <c r="BE240" s="110"/>
      <c r="BF240" s="110"/>
      <c r="BG240" s="110"/>
      <c r="BH240" s="110"/>
      <c r="BI240" s="113"/>
      <c r="BJ240" s="110"/>
      <c r="BK240" s="110"/>
      <c r="BL240" s="110"/>
      <c r="BM240" s="110"/>
      <c r="BN240" s="113"/>
      <c r="BO240" s="110"/>
      <c r="BP240" s="110"/>
      <c r="BQ240" s="110"/>
      <c r="BR240" s="110"/>
      <c r="BS240" s="110"/>
      <c r="BT240" s="110"/>
      <c r="BU240" s="110"/>
      <c r="BV240" s="110"/>
      <c r="BW240" s="110"/>
      <c r="BX240" s="113"/>
      <c r="BY240" s="110"/>
      <c r="BZ240" s="110"/>
      <c r="CA240" s="110"/>
      <c r="CB240" s="110"/>
      <c r="CC240" s="110"/>
      <c r="CD240" s="110"/>
      <c r="CE240" s="110"/>
      <c r="CF240" s="110"/>
      <c r="CG240" s="113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66"/>
      <c r="DA240" s="70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56"/>
      <c r="DR240" s="57"/>
      <c r="DS240" s="58"/>
      <c r="DT240" s="58"/>
      <c r="DU240" s="58"/>
      <c r="DV240" s="58"/>
      <c r="DW240" s="58"/>
      <c r="DX240" s="58"/>
      <c r="DY240" s="58"/>
      <c r="DZ240" s="59"/>
      <c r="EA240" s="60"/>
      <c r="EB240" s="61"/>
      <c r="EC240" s="62"/>
      <c r="ED240" s="2"/>
      <c r="EE240" s="63"/>
      <c r="EF240" s="63"/>
      <c r="EG240" s="63"/>
      <c r="EH240" s="63"/>
      <c r="EI240" s="63"/>
      <c r="EJ240" s="63"/>
      <c r="EK240" s="63"/>
      <c r="EL240" s="63"/>
      <c r="EM240" s="63"/>
      <c r="EN240" s="63"/>
      <c r="EO240" s="63"/>
      <c r="EP240" s="63"/>
      <c r="EQ240" s="63"/>
      <c r="ER240" s="63"/>
      <c r="ES240" s="63"/>
      <c r="ET240" s="63"/>
      <c r="EU240" s="80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5"/>
      <c r="FH240" s="84"/>
      <c r="FI240" s="64"/>
      <c r="FJ240" s="8"/>
      <c r="FK240" s="48"/>
      <c r="FL240" s="48"/>
      <c r="FM240" s="48"/>
      <c r="FN240" s="48"/>
      <c r="FO240" s="48"/>
      <c r="FP240" s="48"/>
      <c r="FQ240" s="48"/>
      <c r="FR240" s="48"/>
      <c r="FS240" s="48"/>
      <c r="FT240" s="48"/>
      <c r="FU240" s="48"/>
      <c r="FV240" s="48"/>
      <c r="FW240" s="48"/>
      <c r="FX240" s="48"/>
      <c r="FY240" s="48"/>
      <c r="FZ240" s="48"/>
      <c r="GA240" s="48"/>
      <c r="GB240" s="48"/>
      <c r="GC240" s="48"/>
      <c r="GD240" s="48"/>
      <c r="GE240" s="48"/>
      <c r="GF240" s="48"/>
      <c r="GG240" s="48"/>
      <c r="GH240" s="48"/>
      <c r="GI240" s="48"/>
      <c r="GJ240" s="8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77"/>
      <c r="GY240" s="77"/>
      <c r="GZ240" s="77"/>
    </row>
    <row r="241" spans="1:208">
      <c r="A241" s="48"/>
      <c r="B241" s="49"/>
      <c r="C241" s="50"/>
      <c r="D241" s="51"/>
      <c r="E241" s="50"/>
      <c r="F241" s="52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90"/>
      <c r="V241" s="91"/>
      <c r="W241" s="92"/>
      <c r="X241" s="92"/>
      <c r="Y241" s="92"/>
      <c r="Z241" s="91"/>
      <c r="AA241" s="93"/>
      <c r="AB241" s="99"/>
      <c r="AC241" s="54"/>
      <c r="AD241" s="54"/>
      <c r="AE241" s="54"/>
      <c r="AF241" s="54"/>
      <c r="AG241" s="54"/>
      <c r="AH241" s="54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113"/>
      <c r="BB241" s="110"/>
      <c r="BC241" s="110"/>
      <c r="BD241" s="110"/>
      <c r="BE241" s="110"/>
      <c r="BF241" s="110"/>
      <c r="BG241" s="110"/>
      <c r="BH241" s="110"/>
      <c r="BI241" s="113"/>
      <c r="BJ241" s="110"/>
      <c r="BK241" s="110"/>
      <c r="BL241" s="110"/>
      <c r="BM241" s="110"/>
      <c r="BN241" s="113"/>
      <c r="BO241" s="110"/>
      <c r="BP241" s="110"/>
      <c r="BQ241" s="110"/>
      <c r="BR241" s="110"/>
      <c r="BS241" s="110"/>
      <c r="BT241" s="110"/>
      <c r="BU241" s="110"/>
      <c r="BV241" s="110"/>
      <c r="BW241" s="110"/>
      <c r="BX241" s="113"/>
      <c r="BY241" s="110"/>
      <c r="BZ241" s="110"/>
      <c r="CA241" s="110"/>
      <c r="CB241" s="110"/>
      <c r="CC241" s="110"/>
      <c r="CD241" s="110"/>
      <c r="CE241" s="110"/>
      <c r="CF241" s="110"/>
      <c r="CG241" s="113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66"/>
      <c r="DA241" s="70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56"/>
      <c r="DR241" s="57"/>
      <c r="DS241" s="58"/>
      <c r="DT241" s="58"/>
      <c r="DU241" s="58"/>
      <c r="DV241" s="58"/>
      <c r="DW241" s="58"/>
      <c r="DX241" s="58"/>
      <c r="DY241" s="58"/>
      <c r="DZ241" s="59"/>
      <c r="EA241" s="60"/>
      <c r="EB241" s="61"/>
      <c r="EC241" s="62"/>
      <c r="ED241" s="2"/>
      <c r="EE241" s="63"/>
      <c r="EF241" s="63"/>
      <c r="EG241" s="63"/>
      <c r="EH241" s="63"/>
      <c r="EI241" s="63"/>
      <c r="EJ241" s="63"/>
      <c r="EK241" s="63"/>
      <c r="EL241" s="63"/>
      <c r="EM241" s="63"/>
      <c r="EN241" s="63"/>
      <c r="EO241" s="63"/>
      <c r="EP241" s="63"/>
      <c r="EQ241" s="63"/>
      <c r="ER241" s="63"/>
      <c r="ES241" s="63"/>
      <c r="ET241" s="63"/>
      <c r="EU241" s="80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5"/>
      <c r="FH241" s="84"/>
      <c r="FI241" s="64"/>
      <c r="FJ241" s="8"/>
      <c r="FK241" s="48"/>
      <c r="FL241" s="48"/>
      <c r="FM241" s="48"/>
      <c r="FN241" s="48"/>
      <c r="FO241" s="48"/>
      <c r="FP241" s="48"/>
      <c r="FQ241" s="48"/>
      <c r="FR241" s="48"/>
      <c r="FS241" s="48"/>
      <c r="FT241" s="48"/>
      <c r="FU241" s="48"/>
      <c r="FV241" s="48"/>
      <c r="FW241" s="48"/>
      <c r="FX241" s="48"/>
      <c r="FY241" s="48"/>
      <c r="FZ241" s="48"/>
      <c r="GA241" s="48"/>
      <c r="GB241" s="48"/>
      <c r="GC241" s="48"/>
      <c r="GD241" s="48"/>
      <c r="GE241" s="48"/>
      <c r="GF241" s="48"/>
      <c r="GG241" s="48"/>
      <c r="GH241" s="48"/>
      <c r="GI241" s="48"/>
      <c r="GJ241" s="8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77"/>
      <c r="GY241" s="77"/>
      <c r="GZ241" s="77"/>
    </row>
    <row r="242" spans="1:208">
      <c r="A242" s="48"/>
      <c r="B242" s="49"/>
      <c r="C242" s="50"/>
      <c r="D242" s="51"/>
      <c r="E242" s="50"/>
      <c r="F242" s="52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90"/>
      <c r="V242" s="91"/>
      <c r="W242" s="92"/>
      <c r="X242" s="92"/>
      <c r="Y242" s="92"/>
      <c r="Z242" s="91"/>
      <c r="AA242" s="93"/>
      <c r="AB242" s="99"/>
      <c r="AC242" s="54"/>
      <c r="AD242" s="54"/>
      <c r="AE242" s="54"/>
      <c r="AF242" s="54"/>
      <c r="AG242" s="54"/>
      <c r="AH242" s="54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113"/>
      <c r="BB242" s="110"/>
      <c r="BC242" s="110"/>
      <c r="BD242" s="110"/>
      <c r="BE242" s="110"/>
      <c r="BF242" s="110"/>
      <c r="BG242" s="110"/>
      <c r="BH242" s="110"/>
      <c r="BI242" s="113"/>
      <c r="BJ242" s="110"/>
      <c r="BK242" s="110"/>
      <c r="BL242" s="110"/>
      <c r="BM242" s="110"/>
      <c r="BN242" s="113"/>
      <c r="BO242" s="110"/>
      <c r="BP242" s="110"/>
      <c r="BQ242" s="110"/>
      <c r="BR242" s="110"/>
      <c r="BS242" s="110"/>
      <c r="BT242" s="110"/>
      <c r="BU242" s="110"/>
      <c r="BV242" s="110"/>
      <c r="BW242" s="110"/>
      <c r="BX242" s="113"/>
      <c r="BY242" s="110"/>
      <c r="BZ242" s="110"/>
      <c r="CA242" s="110"/>
      <c r="CB242" s="110"/>
      <c r="CC242" s="110"/>
      <c r="CD242" s="110"/>
      <c r="CE242" s="110"/>
      <c r="CF242" s="110"/>
      <c r="CG242" s="113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66"/>
      <c r="DA242" s="70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56"/>
      <c r="DR242" s="57"/>
      <c r="DS242" s="58"/>
      <c r="DT242" s="58"/>
      <c r="DU242" s="58"/>
      <c r="DV242" s="58"/>
      <c r="DW242" s="58"/>
      <c r="DX242" s="58"/>
      <c r="DY242" s="58"/>
      <c r="DZ242" s="59"/>
      <c r="EA242" s="60"/>
      <c r="EB242" s="61"/>
      <c r="EC242" s="62"/>
      <c r="ED242" s="2"/>
      <c r="EE242" s="63"/>
      <c r="EF242" s="63"/>
      <c r="EG242" s="63"/>
      <c r="EH242" s="63"/>
      <c r="EI242" s="63"/>
      <c r="EJ242" s="63"/>
      <c r="EK242" s="63"/>
      <c r="EL242" s="63"/>
      <c r="EM242" s="63"/>
      <c r="EN242" s="63"/>
      <c r="EO242" s="63"/>
      <c r="EP242" s="63"/>
      <c r="EQ242" s="63"/>
      <c r="ER242" s="63"/>
      <c r="ES242" s="63"/>
      <c r="ET242" s="63"/>
      <c r="EU242" s="80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5"/>
      <c r="FH242" s="84"/>
      <c r="FI242" s="64"/>
      <c r="FJ242" s="8"/>
      <c r="FK242" s="48"/>
      <c r="FL242" s="48"/>
      <c r="FM242" s="48"/>
      <c r="FN242" s="48"/>
      <c r="FO242" s="48"/>
      <c r="FP242" s="48"/>
      <c r="FQ242" s="48"/>
      <c r="FR242" s="48"/>
      <c r="FS242" s="48"/>
      <c r="FT242" s="48"/>
      <c r="FU242" s="48"/>
      <c r="FV242" s="48"/>
      <c r="FW242" s="48"/>
      <c r="FX242" s="48"/>
      <c r="FY242" s="48"/>
      <c r="FZ242" s="48"/>
      <c r="GA242" s="48"/>
      <c r="GB242" s="48"/>
      <c r="GC242" s="48"/>
      <c r="GD242" s="48"/>
      <c r="GE242" s="48"/>
      <c r="GF242" s="48"/>
      <c r="GG242" s="48"/>
      <c r="GH242" s="48"/>
      <c r="GI242" s="48"/>
      <c r="GJ242" s="8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77"/>
      <c r="GY242" s="77"/>
      <c r="GZ242" s="77"/>
    </row>
    <row r="243" spans="1:208">
      <c r="A243" s="48"/>
      <c r="B243" s="49"/>
      <c r="C243" s="50"/>
      <c r="D243" s="51"/>
      <c r="E243" s="50"/>
      <c r="F243" s="52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90"/>
      <c r="V243" s="91"/>
      <c r="W243" s="92"/>
      <c r="X243" s="92"/>
      <c r="Y243" s="92"/>
      <c r="Z243" s="91"/>
      <c r="AA243" s="93"/>
      <c r="AB243" s="99"/>
      <c r="AC243" s="54"/>
      <c r="AD243" s="54"/>
      <c r="AE243" s="54"/>
      <c r="AF243" s="54"/>
      <c r="AG243" s="54"/>
      <c r="AH243" s="54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113"/>
      <c r="BB243" s="110"/>
      <c r="BC243" s="110"/>
      <c r="BD243" s="110"/>
      <c r="BE243" s="110"/>
      <c r="BF243" s="110"/>
      <c r="BG243" s="110"/>
      <c r="BH243" s="110"/>
      <c r="BI243" s="113"/>
      <c r="BJ243" s="110"/>
      <c r="BK243" s="110"/>
      <c r="BL243" s="110"/>
      <c r="BM243" s="110"/>
      <c r="BN243" s="113"/>
      <c r="BO243" s="110"/>
      <c r="BP243" s="110"/>
      <c r="BQ243" s="110"/>
      <c r="BR243" s="110"/>
      <c r="BS243" s="110"/>
      <c r="BT243" s="110"/>
      <c r="BU243" s="110"/>
      <c r="BV243" s="110"/>
      <c r="BW243" s="110"/>
      <c r="BX243" s="113"/>
      <c r="BY243" s="110"/>
      <c r="BZ243" s="110"/>
      <c r="CA243" s="110"/>
      <c r="CB243" s="110"/>
      <c r="CC243" s="110"/>
      <c r="CD243" s="110"/>
      <c r="CE243" s="110"/>
      <c r="CF243" s="110"/>
      <c r="CG243" s="113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66"/>
      <c r="DA243" s="70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56"/>
      <c r="DR243" s="57"/>
      <c r="DS243" s="58"/>
      <c r="DT243" s="58"/>
      <c r="DU243" s="58"/>
      <c r="DV243" s="58"/>
      <c r="DW243" s="58"/>
      <c r="DX243" s="58"/>
      <c r="DY243" s="58"/>
      <c r="DZ243" s="59"/>
      <c r="EA243" s="60"/>
      <c r="EB243" s="61"/>
      <c r="EC243" s="62"/>
      <c r="ED243" s="2"/>
      <c r="EE243" s="63"/>
      <c r="EF243" s="63"/>
      <c r="EG243" s="63"/>
      <c r="EH243" s="63"/>
      <c r="EI243" s="63"/>
      <c r="EJ243" s="63"/>
      <c r="EK243" s="63"/>
      <c r="EL243" s="63"/>
      <c r="EM243" s="63"/>
      <c r="EN243" s="63"/>
      <c r="EO243" s="63"/>
      <c r="EP243" s="63"/>
      <c r="EQ243" s="63"/>
      <c r="ER243" s="63"/>
      <c r="ES243" s="63"/>
      <c r="ET243" s="63"/>
      <c r="EU243" s="80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5"/>
      <c r="FH243" s="84"/>
      <c r="FI243" s="64"/>
      <c r="FJ243" s="8"/>
      <c r="FK243" s="48"/>
      <c r="FL243" s="48"/>
      <c r="FM243" s="48"/>
      <c r="FN243" s="48"/>
      <c r="FO243" s="48"/>
      <c r="FP243" s="48"/>
      <c r="FQ243" s="48"/>
      <c r="FR243" s="48"/>
      <c r="FS243" s="48"/>
      <c r="FT243" s="48"/>
      <c r="FU243" s="48"/>
      <c r="FV243" s="48"/>
      <c r="FW243" s="48"/>
      <c r="FX243" s="48"/>
      <c r="FY243" s="48"/>
      <c r="FZ243" s="48"/>
      <c r="GA243" s="48"/>
      <c r="GB243" s="48"/>
      <c r="GC243" s="48"/>
      <c r="GD243" s="48"/>
      <c r="GE243" s="48"/>
      <c r="GF243" s="48"/>
      <c r="GG243" s="48"/>
      <c r="GH243" s="48"/>
      <c r="GI243" s="48"/>
      <c r="GJ243" s="8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77"/>
      <c r="GY243" s="77"/>
      <c r="GZ243" s="77"/>
    </row>
    <row r="244" spans="1:208">
      <c r="A244" s="48"/>
      <c r="B244" s="49"/>
      <c r="C244" s="50"/>
      <c r="D244" s="51"/>
      <c r="E244" s="50"/>
      <c r="F244" s="52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90"/>
      <c r="V244" s="91"/>
      <c r="W244" s="92"/>
      <c r="X244" s="92"/>
      <c r="Y244" s="92"/>
      <c r="Z244" s="91"/>
      <c r="AA244" s="93"/>
      <c r="AB244" s="99"/>
      <c r="AC244" s="54"/>
      <c r="AD244" s="54"/>
      <c r="AE244" s="54"/>
      <c r="AF244" s="54"/>
      <c r="AG244" s="54"/>
      <c r="AH244" s="54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113"/>
      <c r="BB244" s="110"/>
      <c r="BC244" s="110"/>
      <c r="BD244" s="110"/>
      <c r="BE244" s="110"/>
      <c r="BF244" s="110"/>
      <c r="BG244" s="110"/>
      <c r="BH244" s="110"/>
      <c r="BI244" s="113"/>
      <c r="BJ244" s="110"/>
      <c r="BK244" s="110"/>
      <c r="BL244" s="110"/>
      <c r="BM244" s="110"/>
      <c r="BN244" s="113"/>
      <c r="BO244" s="110"/>
      <c r="BP244" s="110"/>
      <c r="BQ244" s="110"/>
      <c r="BR244" s="110"/>
      <c r="BS244" s="110"/>
      <c r="BT244" s="110"/>
      <c r="BU244" s="110"/>
      <c r="BV244" s="110"/>
      <c r="BW244" s="110"/>
      <c r="BX244" s="113"/>
      <c r="BY244" s="110"/>
      <c r="BZ244" s="110"/>
      <c r="CA244" s="110"/>
      <c r="CB244" s="110"/>
      <c r="CC244" s="110"/>
      <c r="CD244" s="110"/>
      <c r="CE244" s="110"/>
      <c r="CF244" s="110"/>
      <c r="CG244" s="113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66"/>
      <c r="DA244" s="70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56"/>
      <c r="DR244" s="57"/>
      <c r="DS244" s="58"/>
      <c r="DT244" s="58"/>
      <c r="DU244" s="58"/>
      <c r="DV244" s="58"/>
      <c r="DW244" s="58"/>
      <c r="DX244" s="58"/>
      <c r="DY244" s="58"/>
      <c r="DZ244" s="59"/>
      <c r="EA244" s="60"/>
      <c r="EB244" s="61"/>
      <c r="EC244" s="62"/>
      <c r="ED244" s="2"/>
      <c r="EE244" s="63"/>
      <c r="EF244" s="63"/>
      <c r="EG244" s="63"/>
      <c r="EH244" s="63"/>
      <c r="EI244" s="63"/>
      <c r="EJ244" s="63"/>
      <c r="EK244" s="63"/>
      <c r="EL244" s="63"/>
      <c r="EM244" s="63"/>
      <c r="EN244" s="63"/>
      <c r="EO244" s="63"/>
      <c r="EP244" s="63"/>
      <c r="EQ244" s="63"/>
      <c r="ER244" s="63"/>
      <c r="ES244" s="63"/>
      <c r="ET244" s="63"/>
      <c r="EU244" s="80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5"/>
      <c r="FH244" s="84"/>
      <c r="FI244" s="64"/>
      <c r="FJ244" s="8"/>
      <c r="FK244" s="48"/>
      <c r="FL244" s="48"/>
      <c r="FM244" s="48"/>
      <c r="FN244" s="48"/>
      <c r="FO244" s="48"/>
      <c r="FP244" s="48"/>
      <c r="FQ244" s="48"/>
      <c r="FR244" s="48"/>
      <c r="FS244" s="48"/>
      <c r="FT244" s="48"/>
      <c r="FU244" s="48"/>
      <c r="FV244" s="48"/>
      <c r="FW244" s="48"/>
      <c r="FX244" s="48"/>
      <c r="FY244" s="48"/>
      <c r="FZ244" s="48"/>
      <c r="GA244" s="48"/>
      <c r="GB244" s="48"/>
      <c r="GC244" s="48"/>
      <c r="GD244" s="48"/>
      <c r="GE244" s="48"/>
      <c r="GF244" s="48"/>
      <c r="GG244" s="48"/>
      <c r="GH244" s="48"/>
      <c r="GI244" s="48"/>
      <c r="GJ244" s="8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77"/>
      <c r="GY244" s="77"/>
      <c r="GZ244" s="77"/>
    </row>
    <row r="245" spans="1:208">
      <c r="A245" s="48"/>
      <c r="B245" s="49"/>
      <c r="C245" s="50"/>
      <c r="D245" s="51"/>
      <c r="E245" s="50"/>
      <c r="F245" s="52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90"/>
      <c r="V245" s="91"/>
      <c r="W245" s="92"/>
      <c r="X245" s="92"/>
      <c r="Y245" s="92"/>
      <c r="Z245" s="91"/>
      <c r="AA245" s="93"/>
      <c r="AB245" s="99"/>
      <c r="AC245" s="54"/>
      <c r="AD245" s="54"/>
      <c r="AE245" s="54"/>
      <c r="AF245" s="54"/>
      <c r="AG245" s="54"/>
      <c r="AH245" s="54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113"/>
      <c r="BB245" s="110"/>
      <c r="BC245" s="110"/>
      <c r="BD245" s="110"/>
      <c r="BE245" s="110"/>
      <c r="BF245" s="110"/>
      <c r="BG245" s="110"/>
      <c r="BH245" s="110"/>
      <c r="BI245" s="113"/>
      <c r="BJ245" s="110"/>
      <c r="BK245" s="110"/>
      <c r="BL245" s="110"/>
      <c r="BM245" s="110"/>
      <c r="BN245" s="113"/>
      <c r="BO245" s="110"/>
      <c r="BP245" s="110"/>
      <c r="BQ245" s="110"/>
      <c r="BR245" s="110"/>
      <c r="BS245" s="110"/>
      <c r="BT245" s="110"/>
      <c r="BU245" s="110"/>
      <c r="BV245" s="110"/>
      <c r="BW245" s="110"/>
      <c r="BX245" s="113"/>
      <c r="BY245" s="110"/>
      <c r="BZ245" s="110"/>
      <c r="CA245" s="110"/>
      <c r="CB245" s="110"/>
      <c r="CC245" s="110"/>
      <c r="CD245" s="110"/>
      <c r="CE245" s="110"/>
      <c r="CF245" s="110"/>
      <c r="CG245" s="113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66"/>
      <c r="DA245" s="70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56"/>
      <c r="DR245" s="57"/>
      <c r="DS245" s="58"/>
      <c r="DT245" s="58"/>
      <c r="DU245" s="58"/>
      <c r="DV245" s="58"/>
      <c r="DW245" s="58"/>
      <c r="DX245" s="58"/>
      <c r="DY245" s="58"/>
      <c r="DZ245" s="59"/>
      <c r="EA245" s="60"/>
      <c r="EB245" s="61"/>
      <c r="EC245" s="62"/>
      <c r="ED245" s="2"/>
      <c r="EE245" s="63"/>
      <c r="EF245" s="63"/>
      <c r="EG245" s="63"/>
      <c r="EH245" s="63"/>
      <c r="EI245" s="63"/>
      <c r="EJ245" s="63"/>
      <c r="EK245" s="63"/>
      <c r="EL245" s="63"/>
      <c r="EM245" s="63"/>
      <c r="EN245" s="63"/>
      <c r="EO245" s="63"/>
      <c r="EP245" s="63"/>
      <c r="EQ245" s="63"/>
      <c r="ER245" s="63"/>
      <c r="ES245" s="63"/>
      <c r="ET245" s="63"/>
      <c r="EU245" s="80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5"/>
      <c r="FH245" s="84"/>
      <c r="FI245" s="64"/>
      <c r="FJ245" s="8"/>
      <c r="FK245" s="48"/>
      <c r="FL245" s="48"/>
      <c r="FM245" s="48"/>
      <c r="FN245" s="48"/>
      <c r="FO245" s="48"/>
      <c r="FP245" s="48"/>
      <c r="FQ245" s="48"/>
      <c r="FR245" s="48"/>
      <c r="FS245" s="48"/>
      <c r="FT245" s="48"/>
      <c r="FU245" s="48"/>
      <c r="FV245" s="48"/>
      <c r="FW245" s="48"/>
      <c r="FX245" s="48"/>
      <c r="FY245" s="48"/>
      <c r="FZ245" s="48"/>
      <c r="GA245" s="48"/>
      <c r="GB245" s="48"/>
      <c r="GC245" s="48"/>
      <c r="GD245" s="48"/>
      <c r="GE245" s="48"/>
      <c r="GF245" s="48"/>
      <c r="GG245" s="48"/>
      <c r="GH245" s="48"/>
      <c r="GI245" s="48"/>
      <c r="GJ245" s="8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77"/>
      <c r="GY245" s="77"/>
      <c r="GZ245" s="77"/>
    </row>
    <row r="246" spans="1:208">
      <c r="A246" s="48"/>
      <c r="B246" s="49"/>
      <c r="C246" s="50"/>
      <c r="D246" s="51"/>
      <c r="E246" s="50"/>
      <c r="F246" s="52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90"/>
      <c r="V246" s="91"/>
      <c r="W246" s="92"/>
      <c r="X246" s="92"/>
      <c r="Y246" s="92"/>
      <c r="Z246" s="91"/>
      <c r="AA246" s="93"/>
      <c r="AB246" s="99"/>
      <c r="AC246" s="54"/>
      <c r="AD246" s="54"/>
      <c r="AE246" s="54"/>
      <c r="AF246" s="54"/>
      <c r="AG246" s="54"/>
      <c r="AH246" s="54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113"/>
      <c r="BB246" s="110"/>
      <c r="BC246" s="110"/>
      <c r="BD246" s="110"/>
      <c r="BE246" s="110"/>
      <c r="BF246" s="110"/>
      <c r="BG246" s="110"/>
      <c r="BH246" s="110"/>
      <c r="BI246" s="113"/>
      <c r="BJ246" s="110"/>
      <c r="BK246" s="110"/>
      <c r="BL246" s="110"/>
      <c r="BM246" s="110"/>
      <c r="BN246" s="113"/>
      <c r="BO246" s="110"/>
      <c r="BP246" s="110"/>
      <c r="BQ246" s="110"/>
      <c r="BR246" s="110"/>
      <c r="BS246" s="110"/>
      <c r="BT246" s="110"/>
      <c r="BU246" s="110"/>
      <c r="BV246" s="110"/>
      <c r="BW246" s="110"/>
      <c r="BX246" s="113"/>
      <c r="BY246" s="110"/>
      <c r="BZ246" s="110"/>
      <c r="CA246" s="110"/>
      <c r="CB246" s="110"/>
      <c r="CC246" s="110"/>
      <c r="CD246" s="110"/>
      <c r="CE246" s="110"/>
      <c r="CF246" s="110"/>
      <c r="CG246" s="113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66"/>
      <c r="DA246" s="70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56"/>
      <c r="DR246" s="57"/>
      <c r="DS246" s="58"/>
      <c r="DT246" s="58"/>
      <c r="DU246" s="58"/>
      <c r="DV246" s="58"/>
      <c r="DW246" s="58"/>
      <c r="DX246" s="58"/>
      <c r="DY246" s="58"/>
      <c r="DZ246" s="59"/>
      <c r="EA246" s="60"/>
      <c r="EB246" s="61"/>
      <c r="EC246" s="62"/>
      <c r="ED246" s="2"/>
      <c r="EE246" s="63"/>
      <c r="EF246" s="63"/>
      <c r="EG246" s="63"/>
      <c r="EH246" s="63"/>
      <c r="EI246" s="63"/>
      <c r="EJ246" s="63"/>
      <c r="EK246" s="63"/>
      <c r="EL246" s="63"/>
      <c r="EM246" s="63"/>
      <c r="EN246" s="63"/>
      <c r="EO246" s="63"/>
      <c r="EP246" s="63"/>
      <c r="EQ246" s="63"/>
      <c r="ER246" s="63"/>
      <c r="ES246" s="63"/>
      <c r="ET246" s="63"/>
      <c r="EU246" s="80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5"/>
      <c r="FH246" s="84"/>
      <c r="FI246" s="64"/>
      <c r="FJ246" s="8"/>
      <c r="FK246" s="48"/>
      <c r="FL246" s="48"/>
      <c r="FM246" s="48"/>
      <c r="FN246" s="48"/>
      <c r="FO246" s="48"/>
      <c r="FP246" s="48"/>
      <c r="FQ246" s="48"/>
      <c r="FR246" s="48"/>
      <c r="FS246" s="48"/>
      <c r="FT246" s="48"/>
      <c r="FU246" s="48"/>
      <c r="FV246" s="48"/>
      <c r="FW246" s="48"/>
      <c r="FX246" s="48"/>
      <c r="FY246" s="48"/>
      <c r="FZ246" s="48"/>
      <c r="GA246" s="48"/>
      <c r="GB246" s="48"/>
      <c r="GC246" s="48"/>
      <c r="GD246" s="48"/>
      <c r="GE246" s="48"/>
      <c r="GF246" s="48"/>
      <c r="GG246" s="48"/>
      <c r="GH246" s="48"/>
      <c r="GI246" s="48"/>
      <c r="GJ246" s="8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77"/>
      <c r="GY246" s="77"/>
      <c r="GZ246" s="77"/>
    </row>
    <row r="247" spans="1:208">
      <c r="A247" s="48"/>
      <c r="B247" s="49"/>
      <c r="C247" s="50"/>
      <c r="D247" s="51"/>
      <c r="E247" s="50"/>
      <c r="F247" s="52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90"/>
      <c r="V247" s="91"/>
      <c r="W247" s="92"/>
      <c r="X247" s="92"/>
      <c r="Y247" s="92"/>
      <c r="Z247" s="91"/>
      <c r="AA247" s="93"/>
      <c r="AB247" s="99"/>
      <c r="AC247" s="54"/>
      <c r="AD247" s="54"/>
      <c r="AE247" s="54"/>
      <c r="AF247" s="54"/>
      <c r="AG247" s="54"/>
      <c r="AH247" s="54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113"/>
      <c r="BB247" s="110"/>
      <c r="BC247" s="110"/>
      <c r="BD247" s="110"/>
      <c r="BE247" s="110"/>
      <c r="BF247" s="110"/>
      <c r="BG247" s="110"/>
      <c r="BH247" s="110"/>
      <c r="BI247" s="113"/>
      <c r="BJ247" s="110"/>
      <c r="BK247" s="110"/>
      <c r="BL247" s="110"/>
      <c r="BM247" s="110"/>
      <c r="BN247" s="113"/>
      <c r="BO247" s="110"/>
      <c r="BP247" s="110"/>
      <c r="BQ247" s="110"/>
      <c r="BR247" s="110"/>
      <c r="BS247" s="110"/>
      <c r="BT247" s="110"/>
      <c r="BU247" s="110"/>
      <c r="BV247" s="110"/>
      <c r="BW247" s="110"/>
      <c r="BX247" s="113"/>
      <c r="BY247" s="110"/>
      <c r="BZ247" s="110"/>
      <c r="CA247" s="110"/>
      <c r="CB247" s="110"/>
      <c r="CC247" s="110"/>
      <c r="CD247" s="110"/>
      <c r="CE247" s="110"/>
      <c r="CF247" s="110"/>
      <c r="CG247" s="113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66"/>
      <c r="DA247" s="70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56"/>
      <c r="DR247" s="57"/>
      <c r="DS247" s="58"/>
      <c r="DT247" s="58"/>
      <c r="DU247" s="58"/>
      <c r="DV247" s="58"/>
      <c r="DW247" s="58"/>
      <c r="DX247" s="58"/>
      <c r="DY247" s="58"/>
      <c r="DZ247" s="59"/>
      <c r="EA247" s="60"/>
      <c r="EB247" s="61"/>
      <c r="EC247" s="62"/>
      <c r="ED247" s="2"/>
      <c r="EE247" s="63"/>
      <c r="EF247" s="63"/>
      <c r="EG247" s="63"/>
      <c r="EH247" s="63"/>
      <c r="EI247" s="63"/>
      <c r="EJ247" s="63"/>
      <c r="EK247" s="63"/>
      <c r="EL247" s="63"/>
      <c r="EM247" s="63"/>
      <c r="EN247" s="63"/>
      <c r="EO247" s="63"/>
      <c r="EP247" s="63"/>
      <c r="EQ247" s="63"/>
      <c r="ER247" s="63"/>
      <c r="ES247" s="63"/>
      <c r="ET247" s="63"/>
      <c r="EU247" s="80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5"/>
      <c r="FH247" s="84"/>
      <c r="FI247" s="64"/>
      <c r="FJ247" s="8"/>
      <c r="FK247" s="48"/>
      <c r="FL247" s="48"/>
      <c r="FM247" s="48"/>
      <c r="FN247" s="48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8"/>
      <c r="GC247" s="48"/>
      <c r="GD247" s="48"/>
      <c r="GE247" s="48"/>
      <c r="GF247" s="48"/>
      <c r="GG247" s="48"/>
      <c r="GH247" s="48"/>
      <c r="GI247" s="48"/>
      <c r="GJ247" s="8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77"/>
      <c r="GY247" s="77"/>
      <c r="GZ247" s="77"/>
    </row>
    <row r="248" spans="1:208">
      <c r="A248" s="48"/>
      <c r="B248" s="49"/>
      <c r="C248" s="50"/>
      <c r="D248" s="51"/>
      <c r="E248" s="50"/>
      <c r="F248" s="52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90"/>
      <c r="V248" s="91"/>
      <c r="W248" s="92"/>
      <c r="X248" s="92"/>
      <c r="Y248" s="92"/>
      <c r="Z248" s="91"/>
      <c r="AA248" s="93"/>
      <c r="AB248" s="99"/>
      <c r="AC248" s="54"/>
      <c r="AD248" s="54"/>
      <c r="AE248" s="54"/>
      <c r="AF248" s="54"/>
      <c r="AG248" s="54"/>
      <c r="AH248" s="54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113"/>
      <c r="BB248" s="110"/>
      <c r="BC248" s="110"/>
      <c r="BD248" s="110"/>
      <c r="BE248" s="110"/>
      <c r="BF248" s="110"/>
      <c r="BG248" s="110"/>
      <c r="BH248" s="110"/>
      <c r="BI248" s="113"/>
      <c r="BJ248" s="110"/>
      <c r="BK248" s="110"/>
      <c r="BL248" s="110"/>
      <c r="BM248" s="110"/>
      <c r="BN248" s="113"/>
      <c r="BO248" s="110"/>
      <c r="BP248" s="110"/>
      <c r="BQ248" s="110"/>
      <c r="BR248" s="110"/>
      <c r="BS248" s="110"/>
      <c r="BT248" s="110"/>
      <c r="BU248" s="110"/>
      <c r="BV248" s="110"/>
      <c r="BW248" s="110"/>
      <c r="BX248" s="113"/>
      <c r="BY248" s="110"/>
      <c r="BZ248" s="110"/>
      <c r="CA248" s="110"/>
      <c r="CB248" s="110"/>
      <c r="CC248" s="110"/>
      <c r="CD248" s="110"/>
      <c r="CE248" s="110"/>
      <c r="CF248" s="110"/>
      <c r="CG248" s="113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66"/>
      <c r="DA248" s="70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56"/>
      <c r="DR248" s="57"/>
      <c r="DS248" s="58"/>
      <c r="DT248" s="58"/>
      <c r="DU248" s="58"/>
      <c r="DV248" s="58"/>
      <c r="DW248" s="58"/>
      <c r="DX248" s="58"/>
      <c r="DY248" s="58"/>
      <c r="DZ248" s="59"/>
      <c r="EA248" s="60"/>
      <c r="EB248" s="61"/>
      <c r="EC248" s="62"/>
      <c r="ED248" s="2"/>
      <c r="EE248" s="63"/>
      <c r="EF248" s="63"/>
      <c r="EG248" s="63"/>
      <c r="EH248" s="63"/>
      <c r="EI248" s="63"/>
      <c r="EJ248" s="63"/>
      <c r="EK248" s="63"/>
      <c r="EL248" s="63"/>
      <c r="EM248" s="63"/>
      <c r="EN248" s="63"/>
      <c r="EO248" s="63"/>
      <c r="EP248" s="63"/>
      <c r="EQ248" s="63"/>
      <c r="ER248" s="63"/>
      <c r="ES248" s="63"/>
      <c r="ET248" s="63"/>
      <c r="EU248" s="80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5"/>
      <c r="FH248" s="84"/>
      <c r="FI248" s="64"/>
      <c r="FJ248" s="8"/>
      <c r="FK248" s="48"/>
      <c r="FL248" s="48"/>
      <c r="FM248" s="48"/>
      <c r="FN248" s="48"/>
      <c r="FO248" s="48"/>
      <c r="FP248" s="48"/>
      <c r="FQ248" s="48"/>
      <c r="FR248" s="48"/>
      <c r="FS248" s="48"/>
      <c r="FT248" s="48"/>
      <c r="FU248" s="48"/>
      <c r="FV248" s="48"/>
      <c r="FW248" s="48"/>
      <c r="FX248" s="48"/>
      <c r="FY248" s="48"/>
      <c r="FZ248" s="48"/>
      <c r="GA248" s="48"/>
      <c r="GB248" s="48"/>
      <c r="GC248" s="48"/>
      <c r="GD248" s="48"/>
      <c r="GE248" s="48"/>
      <c r="GF248" s="48"/>
      <c r="GG248" s="48"/>
      <c r="GH248" s="48"/>
      <c r="GI248" s="48"/>
      <c r="GJ248" s="8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77"/>
      <c r="GY248" s="77"/>
      <c r="GZ248" s="77"/>
    </row>
    <row r="249" spans="1:208">
      <c r="A249" s="48"/>
      <c r="B249" s="49"/>
      <c r="C249" s="50"/>
      <c r="D249" s="51"/>
      <c r="E249" s="50"/>
      <c r="F249" s="52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90"/>
      <c r="V249" s="91"/>
      <c r="W249" s="92"/>
      <c r="X249" s="92"/>
      <c r="Y249" s="92"/>
      <c r="Z249" s="91"/>
      <c r="AA249" s="93"/>
      <c r="AB249" s="99"/>
      <c r="AC249" s="54"/>
      <c r="AD249" s="54"/>
      <c r="AE249" s="54"/>
      <c r="AF249" s="54"/>
      <c r="AG249" s="54"/>
      <c r="AH249" s="54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113"/>
      <c r="BB249" s="110"/>
      <c r="BC249" s="110"/>
      <c r="BD249" s="110"/>
      <c r="BE249" s="110"/>
      <c r="BF249" s="110"/>
      <c r="BG249" s="110"/>
      <c r="BH249" s="110"/>
      <c r="BI249" s="113"/>
      <c r="BJ249" s="110"/>
      <c r="BK249" s="110"/>
      <c r="BL249" s="110"/>
      <c r="BM249" s="110"/>
      <c r="BN249" s="113"/>
      <c r="BO249" s="110"/>
      <c r="BP249" s="110"/>
      <c r="BQ249" s="110"/>
      <c r="BR249" s="110"/>
      <c r="BS249" s="110"/>
      <c r="BT249" s="110"/>
      <c r="BU249" s="110"/>
      <c r="BV249" s="110"/>
      <c r="BW249" s="110"/>
      <c r="BX249" s="113"/>
      <c r="BY249" s="110"/>
      <c r="BZ249" s="110"/>
      <c r="CA249" s="110"/>
      <c r="CB249" s="110"/>
      <c r="CC249" s="110"/>
      <c r="CD249" s="110"/>
      <c r="CE249" s="110"/>
      <c r="CF249" s="110"/>
      <c r="CG249" s="113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66"/>
      <c r="DA249" s="70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56"/>
      <c r="DR249" s="57"/>
      <c r="DS249" s="58"/>
      <c r="DT249" s="58"/>
      <c r="DU249" s="58"/>
      <c r="DV249" s="58"/>
      <c r="DW249" s="58"/>
      <c r="DX249" s="58"/>
      <c r="DY249" s="58"/>
      <c r="DZ249" s="59"/>
      <c r="EA249" s="60"/>
      <c r="EB249" s="61"/>
      <c r="EC249" s="62"/>
      <c r="ED249" s="2"/>
      <c r="EE249" s="63"/>
      <c r="EF249" s="63"/>
      <c r="EG249" s="63"/>
      <c r="EH249" s="63"/>
      <c r="EI249" s="63"/>
      <c r="EJ249" s="63"/>
      <c r="EK249" s="63"/>
      <c r="EL249" s="63"/>
      <c r="EM249" s="63"/>
      <c r="EN249" s="63"/>
      <c r="EO249" s="63"/>
      <c r="EP249" s="63"/>
      <c r="EQ249" s="63"/>
      <c r="ER249" s="63"/>
      <c r="ES249" s="63"/>
      <c r="ET249" s="63"/>
      <c r="EU249" s="80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5"/>
      <c r="FH249" s="84"/>
      <c r="FI249" s="64"/>
      <c r="FJ249" s="8"/>
      <c r="FK249" s="48"/>
      <c r="FL249" s="48"/>
      <c r="FM249" s="48"/>
      <c r="FN249" s="48"/>
      <c r="FO249" s="48"/>
      <c r="FP249" s="48"/>
      <c r="FQ249" s="48"/>
      <c r="FR249" s="48"/>
      <c r="FS249" s="48"/>
      <c r="FT249" s="48"/>
      <c r="FU249" s="48"/>
      <c r="FV249" s="48"/>
      <c r="FW249" s="48"/>
      <c r="FX249" s="48"/>
      <c r="FY249" s="48"/>
      <c r="FZ249" s="48"/>
      <c r="GA249" s="48"/>
      <c r="GB249" s="48"/>
      <c r="GC249" s="48"/>
      <c r="GD249" s="48"/>
      <c r="GE249" s="48"/>
      <c r="GF249" s="48"/>
      <c r="GG249" s="48"/>
      <c r="GH249" s="48"/>
      <c r="GI249" s="48"/>
      <c r="GJ249" s="8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77"/>
      <c r="GY249" s="77"/>
      <c r="GZ249" s="77"/>
    </row>
    <row r="250" spans="1:208">
      <c r="A250" s="48"/>
      <c r="B250" s="49"/>
      <c r="C250" s="50"/>
      <c r="D250" s="51"/>
      <c r="E250" s="50"/>
      <c r="F250" s="52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90"/>
      <c r="V250" s="91"/>
      <c r="W250" s="92"/>
      <c r="X250" s="92"/>
      <c r="Y250" s="92"/>
      <c r="Z250" s="91"/>
      <c r="AA250" s="93"/>
      <c r="AB250" s="99"/>
      <c r="AC250" s="54"/>
      <c r="AD250" s="54"/>
      <c r="AE250" s="54"/>
      <c r="AF250" s="54"/>
      <c r="AG250" s="54"/>
      <c r="AH250" s="54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113"/>
      <c r="BB250" s="110"/>
      <c r="BC250" s="110"/>
      <c r="BD250" s="110"/>
      <c r="BE250" s="110"/>
      <c r="BF250" s="110"/>
      <c r="BG250" s="110"/>
      <c r="BH250" s="110"/>
      <c r="BI250" s="113"/>
      <c r="BJ250" s="110"/>
      <c r="BK250" s="110"/>
      <c r="BL250" s="110"/>
      <c r="BM250" s="110"/>
      <c r="BN250" s="113"/>
      <c r="BO250" s="110"/>
      <c r="BP250" s="110"/>
      <c r="BQ250" s="110"/>
      <c r="BR250" s="110"/>
      <c r="BS250" s="110"/>
      <c r="BT250" s="110"/>
      <c r="BU250" s="110"/>
      <c r="BV250" s="110"/>
      <c r="BW250" s="110"/>
      <c r="BX250" s="113"/>
      <c r="BY250" s="110"/>
      <c r="BZ250" s="110"/>
      <c r="CA250" s="110"/>
      <c r="CB250" s="110"/>
      <c r="CC250" s="110"/>
      <c r="CD250" s="110"/>
      <c r="CE250" s="110"/>
      <c r="CF250" s="110"/>
      <c r="CG250" s="113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66"/>
      <c r="DA250" s="70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56"/>
      <c r="DR250" s="57"/>
      <c r="DS250" s="58"/>
      <c r="DT250" s="58"/>
      <c r="DU250" s="58"/>
      <c r="DV250" s="58"/>
      <c r="DW250" s="58"/>
      <c r="DX250" s="58"/>
      <c r="DY250" s="58"/>
      <c r="DZ250" s="59"/>
      <c r="EA250" s="60"/>
      <c r="EB250" s="61"/>
      <c r="EC250" s="62"/>
      <c r="ED250" s="2"/>
      <c r="EE250" s="63"/>
      <c r="EF250" s="63"/>
      <c r="EG250" s="63"/>
      <c r="EH250" s="63"/>
      <c r="EI250" s="63"/>
      <c r="EJ250" s="63"/>
      <c r="EK250" s="63"/>
      <c r="EL250" s="63"/>
      <c r="EM250" s="63"/>
      <c r="EN250" s="63"/>
      <c r="EO250" s="63"/>
      <c r="EP250" s="63"/>
      <c r="EQ250" s="63"/>
      <c r="ER250" s="63"/>
      <c r="ES250" s="63"/>
      <c r="ET250" s="63"/>
      <c r="EU250" s="80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5"/>
      <c r="FH250" s="84"/>
      <c r="FI250" s="64"/>
      <c r="FJ250" s="8"/>
      <c r="FK250" s="48"/>
      <c r="FL250" s="48"/>
      <c r="FM250" s="48"/>
      <c r="FN250" s="48"/>
      <c r="FO250" s="48"/>
      <c r="FP250" s="48"/>
      <c r="FQ250" s="48"/>
      <c r="FR250" s="48"/>
      <c r="FS250" s="48"/>
      <c r="FT250" s="48"/>
      <c r="FU250" s="48"/>
      <c r="FV250" s="48"/>
      <c r="FW250" s="48"/>
      <c r="FX250" s="48"/>
      <c r="FY250" s="48"/>
      <c r="FZ250" s="48"/>
      <c r="GA250" s="48"/>
      <c r="GB250" s="48"/>
      <c r="GC250" s="48"/>
      <c r="GD250" s="48"/>
      <c r="GE250" s="48"/>
      <c r="GF250" s="48"/>
      <c r="GG250" s="48"/>
      <c r="GH250" s="48"/>
      <c r="GI250" s="48"/>
      <c r="GJ250" s="8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77"/>
      <c r="GY250" s="77"/>
      <c r="GZ250" s="77"/>
    </row>
    <row r="251" spans="1:208">
      <c r="A251" s="48"/>
      <c r="B251" s="49"/>
      <c r="C251" s="50"/>
      <c r="D251" s="51"/>
      <c r="E251" s="50"/>
      <c r="F251" s="52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90"/>
      <c r="V251" s="91"/>
      <c r="W251" s="92"/>
      <c r="X251" s="92"/>
      <c r="Y251" s="92"/>
      <c r="Z251" s="91"/>
      <c r="AA251" s="93"/>
      <c r="AB251" s="99"/>
      <c r="AC251" s="54"/>
      <c r="AD251" s="54"/>
      <c r="AE251" s="54"/>
      <c r="AF251" s="54"/>
      <c r="AG251" s="54"/>
      <c r="AH251" s="54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113"/>
      <c r="BB251" s="110"/>
      <c r="BC251" s="110"/>
      <c r="BD251" s="110"/>
      <c r="BE251" s="110"/>
      <c r="BF251" s="110"/>
      <c r="BG251" s="110"/>
      <c r="BH251" s="110"/>
      <c r="BI251" s="113"/>
      <c r="BJ251" s="110"/>
      <c r="BK251" s="110"/>
      <c r="BL251" s="110"/>
      <c r="BM251" s="110"/>
      <c r="BN251" s="113"/>
      <c r="BO251" s="110"/>
      <c r="BP251" s="110"/>
      <c r="BQ251" s="110"/>
      <c r="BR251" s="110"/>
      <c r="BS251" s="110"/>
      <c r="BT251" s="110"/>
      <c r="BU251" s="110"/>
      <c r="BV251" s="110"/>
      <c r="BW251" s="110"/>
      <c r="BX251" s="113"/>
      <c r="BY251" s="110"/>
      <c r="BZ251" s="110"/>
      <c r="CA251" s="110"/>
      <c r="CB251" s="110"/>
      <c r="CC251" s="110"/>
      <c r="CD251" s="110"/>
      <c r="CE251" s="110"/>
      <c r="CF251" s="110"/>
      <c r="CG251" s="113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66"/>
      <c r="DA251" s="70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56"/>
      <c r="DR251" s="57"/>
      <c r="DS251" s="58"/>
      <c r="DT251" s="58"/>
      <c r="DU251" s="58"/>
      <c r="DV251" s="58"/>
      <c r="DW251" s="58"/>
      <c r="DX251" s="58"/>
      <c r="DY251" s="58"/>
      <c r="DZ251" s="59"/>
      <c r="EA251" s="60"/>
      <c r="EB251" s="61"/>
      <c r="EC251" s="62"/>
      <c r="ED251" s="2"/>
      <c r="EE251" s="63"/>
      <c r="EF251" s="63"/>
      <c r="EG251" s="63"/>
      <c r="EH251" s="63"/>
      <c r="EI251" s="63"/>
      <c r="EJ251" s="63"/>
      <c r="EK251" s="63"/>
      <c r="EL251" s="63"/>
      <c r="EM251" s="63"/>
      <c r="EN251" s="63"/>
      <c r="EO251" s="63"/>
      <c r="EP251" s="63"/>
      <c r="EQ251" s="63"/>
      <c r="ER251" s="63"/>
      <c r="ES251" s="63"/>
      <c r="ET251" s="63"/>
      <c r="EU251" s="80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5"/>
      <c r="FH251" s="84"/>
      <c r="FI251" s="64"/>
      <c r="FJ251" s="8"/>
      <c r="FK251" s="48"/>
      <c r="FL251" s="48"/>
      <c r="FM251" s="48"/>
      <c r="FN251" s="48"/>
      <c r="FO251" s="48"/>
      <c r="FP251" s="48"/>
      <c r="FQ251" s="48"/>
      <c r="FR251" s="48"/>
      <c r="FS251" s="48"/>
      <c r="FT251" s="48"/>
      <c r="FU251" s="48"/>
      <c r="FV251" s="48"/>
      <c r="FW251" s="48"/>
      <c r="FX251" s="48"/>
      <c r="FY251" s="48"/>
      <c r="FZ251" s="48"/>
      <c r="GA251" s="48"/>
      <c r="GB251" s="48"/>
      <c r="GC251" s="48"/>
      <c r="GD251" s="48"/>
      <c r="GE251" s="48"/>
      <c r="GF251" s="48"/>
      <c r="GG251" s="48"/>
      <c r="GH251" s="48"/>
      <c r="GI251" s="48"/>
      <c r="GJ251" s="8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77"/>
      <c r="GY251" s="77"/>
      <c r="GZ251" s="77"/>
    </row>
    <row r="252" spans="1:208">
      <c r="A252" s="48"/>
      <c r="B252" s="49"/>
      <c r="C252" s="50"/>
      <c r="D252" s="51"/>
      <c r="E252" s="50"/>
      <c r="F252" s="52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90"/>
      <c r="V252" s="91"/>
      <c r="W252" s="92"/>
      <c r="X252" s="92"/>
      <c r="Y252" s="92"/>
      <c r="Z252" s="91"/>
      <c r="AA252" s="93"/>
      <c r="AB252" s="99"/>
      <c r="AC252" s="54"/>
      <c r="AD252" s="54"/>
      <c r="AE252" s="54"/>
      <c r="AF252" s="54"/>
      <c r="AG252" s="54"/>
      <c r="AH252" s="54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113"/>
      <c r="BB252" s="110"/>
      <c r="BC252" s="110"/>
      <c r="BD252" s="110"/>
      <c r="BE252" s="110"/>
      <c r="BF252" s="110"/>
      <c r="BG252" s="110"/>
      <c r="BH252" s="110"/>
      <c r="BI252" s="113"/>
      <c r="BJ252" s="110"/>
      <c r="BK252" s="110"/>
      <c r="BL252" s="110"/>
      <c r="BM252" s="110"/>
      <c r="BN252" s="113"/>
      <c r="BO252" s="110"/>
      <c r="BP252" s="110"/>
      <c r="BQ252" s="110"/>
      <c r="BR252" s="110"/>
      <c r="BS252" s="110"/>
      <c r="BT252" s="110"/>
      <c r="BU252" s="110"/>
      <c r="BV252" s="110"/>
      <c r="BW252" s="110"/>
      <c r="BX252" s="113"/>
      <c r="BY252" s="110"/>
      <c r="BZ252" s="110"/>
      <c r="CA252" s="110"/>
      <c r="CB252" s="110"/>
      <c r="CC252" s="110"/>
      <c r="CD252" s="110"/>
      <c r="CE252" s="110"/>
      <c r="CF252" s="110"/>
      <c r="CG252" s="113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66"/>
      <c r="DA252" s="70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56"/>
      <c r="DR252" s="57"/>
      <c r="DS252" s="58"/>
      <c r="DT252" s="58"/>
      <c r="DU252" s="58"/>
      <c r="DV252" s="58"/>
      <c r="DW252" s="58"/>
      <c r="DX252" s="58"/>
      <c r="DY252" s="58"/>
      <c r="DZ252" s="59"/>
      <c r="EA252" s="60"/>
      <c r="EB252" s="61"/>
      <c r="EC252" s="62"/>
      <c r="ED252" s="2"/>
      <c r="EE252" s="63"/>
      <c r="EF252" s="63"/>
      <c r="EG252" s="63"/>
      <c r="EH252" s="63"/>
      <c r="EI252" s="63"/>
      <c r="EJ252" s="63"/>
      <c r="EK252" s="63"/>
      <c r="EL252" s="63"/>
      <c r="EM252" s="63"/>
      <c r="EN252" s="63"/>
      <c r="EO252" s="63"/>
      <c r="EP252" s="63"/>
      <c r="EQ252" s="63"/>
      <c r="ER252" s="63"/>
      <c r="ES252" s="63"/>
      <c r="ET252" s="63"/>
      <c r="EU252" s="80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5"/>
      <c r="FH252" s="84"/>
      <c r="FI252" s="64"/>
      <c r="FJ252" s="8"/>
      <c r="FK252" s="48"/>
      <c r="FL252" s="48"/>
      <c r="FM252" s="48"/>
      <c r="FN252" s="48"/>
      <c r="FO252" s="48"/>
      <c r="FP252" s="48"/>
      <c r="FQ252" s="48"/>
      <c r="FR252" s="48"/>
      <c r="FS252" s="48"/>
      <c r="FT252" s="48"/>
      <c r="FU252" s="48"/>
      <c r="FV252" s="48"/>
      <c r="FW252" s="48"/>
      <c r="FX252" s="48"/>
      <c r="FY252" s="48"/>
      <c r="FZ252" s="48"/>
      <c r="GA252" s="48"/>
      <c r="GB252" s="48"/>
      <c r="GC252" s="48"/>
      <c r="GD252" s="48"/>
      <c r="GE252" s="48"/>
      <c r="GF252" s="48"/>
      <c r="GG252" s="48"/>
      <c r="GH252" s="48"/>
      <c r="GI252" s="48"/>
      <c r="GJ252" s="8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77"/>
      <c r="GY252" s="77"/>
      <c r="GZ252" s="77"/>
    </row>
    <row r="253" spans="1:208">
      <c r="A253" s="48"/>
      <c r="B253" s="49"/>
      <c r="C253" s="50"/>
      <c r="D253" s="51"/>
      <c r="E253" s="50"/>
      <c r="F253" s="52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90"/>
      <c r="V253" s="91"/>
      <c r="W253" s="92"/>
      <c r="X253" s="92"/>
      <c r="Y253" s="92"/>
      <c r="Z253" s="91"/>
      <c r="AA253" s="93"/>
      <c r="AB253" s="99"/>
      <c r="AC253" s="54"/>
      <c r="AD253" s="54"/>
      <c r="AE253" s="54"/>
      <c r="AF253" s="54"/>
      <c r="AG253" s="54"/>
      <c r="AH253" s="54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113"/>
      <c r="BB253" s="110"/>
      <c r="BC253" s="110"/>
      <c r="BD253" s="110"/>
      <c r="BE253" s="110"/>
      <c r="BF253" s="110"/>
      <c r="BG253" s="110"/>
      <c r="BH253" s="110"/>
      <c r="BI253" s="113"/>
      <c r="BJ253" s="110"/>
      <c r="BK253" s="110"/>
      <c r="BL253" s="110"/>
      <c r="BM253" s="110"/>
      <c r="BN253" s="113"/>
      <c r="BO253" s="110"/>
      <c r="BP253" s="110"/>
      <c r="BQ253" s="110"/>
      <c r="BR253" s="110"/>
      <c r="BS253" s="110"/>
      <c r="BT253" s="110"/>
      <c r="BU253" s="110"/>
      <c r="BV253" s="110"/>
      <c r="BW253" s="110"/>
      <c r="BX253" s="113"/>
      <c r="BY253" s="110"/>
      <c r="BZ253" s="110"/>
      <c r="CA253" s="110"/>
      <c r="CB253" s="110"/>
      <c r="CC253" s="110"/>
      <c r="CD253" s="110"/>
      <c r="CE253" s="110"/>
      <c r="CF253" s="110"/>
      <c r="CG253" s="113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66"/>
      <c r="DA253" s="70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56"/>
      <c r="DR253" s="57"/>
      <c r="DS253" s="58"/>
      <c r="DT253" s="58"/>
      <c r="DU253" s="58"/>
      <c r="DV253" s="58"/>
      <c r="DW253" s="58"/>
      <c r="DX253" s="58"/>
      <c r="DY253" s="58"/>
      <c r="DZ253" s="59"/>
      <c r="EA253" s="60"/>
      <c r="EB253" s="61"/>
      <c r="EC253" s="62"/>
      <c r="ED253" s="2"/>
      <c r="EE253" s="63"/>
      <c r="EF253" s="63"/>
      <c r="EG253" s="63"/>
      <c r="EH253" s="63"/>
      <c r="EI253" s="63"/>
      <c r="EJ253" s="63"/>
      <c r="EK253" s="63"/>
      <c r="EL253" s="63"/>
      <c r="EM253" s="63"/>
      <c r="EN253" s="63"/>
      <c r="EO253" s="63"/>
      <c r="EP253" s="63"/>
      <c r="EQ253" s="63"/>
      <c r="ER253" s="63"/>
      <c r="ES253" s="63"/>
      <c r="ET253" s="63"/>
      <c r="EU253" s="80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5"/>
      <c r="FH253" s="84"/>
      <c r="FI253" s="64"/>
      <c r="FJ253" s="8"/>
      <c r="FK253" s="48"/>
      <c r="FL253" s="48"/>
      <c r="FM253" s="48"/>
      <c r="FN253" s="48"/>
      <c r="FO253" s="48"/>
      <c r="FP253" s="48"/>
      <c r="FQ253" s="48"/>
      <c r="FR253" s="48"/>
      <c r="FS253" s="48"/>
      <c r="FT253" s="48"/>
      <c r="FU253" s="48"/>
      <c r="FV253" s="48"/>
      <c r="FW253" s="48"/>
      <c r="FX253" s="48"/>
      <c r="FY253" s="48"/>
      <c r="FZ253" s="48"/>
      <c r="GA253" s="48"/>
      <c r="GB253" s="48"/>
      <c r="GC253" s="48"/>
      <c r="GD253" s="48"/>
      <c r="GE253" s="48"/>
      <c r="GF253" s="48"/>
      <c r="GG253" s="48"/>
      <c r="GH253" s="48"/>
      <c r="GI253" s="48"/>
      <c r="GJ253" s="8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77"/>
      <c r="GY253" s="77"/>
      <c r="GZ253" s="77"/>
    </row>
    <row r="254" spans="1:208">
      <c r="A254" s="48"/>
      <c r="B254" s="49"/>
      <c r="C254" s="50"/>
      <c r="D254" s="51"/>
      <c r="E254" s="50"/>
      <c r="F254" s="52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90"/>
      <c r="V254" s="91"/>
      <c r="W254" s="92"/>
      <c r="X254" s="92"/>
      <c r="Y254" s="92"/>
      <c r="Z254" s="91"/>
      <c r="AA254" s="93"/>
      <c r="AB254" s="99"/>
      <c r="AC254" s="54"/>
      <c r="AD254" s="54"/>
      <c r="AE254" s="54"/>
      <c r="AF254" s="54"/>
      <c r="AG254" s="54"/>
      <c r="AH254" s="54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113"/>
      <c r="BB254" s="110"/>
      <c r="BC254" s="110"/>
      <c r="BD254" s="110"/>
      <c r="BE254" s="110"/>
      <c r="BF254" s="110"/>
      <c r="BG254" s="110"/>
      <c r="BH254" s="110"/>
      <c r="BI254" s="113"/>
      <c r="BJ254" s="110"/>
      <c r="BK254" s="110"/>
      <c r="BL254" s="110"/>
      <c r="BM254" s="110"/>
      <c r="BN254" s="113"/>
      <c r="BO254" s="110"/>
      <c r="BP254" s="110"/>
      <c r="BQ254" s="110"/>
      <c r="BR254" s="110"/>
      <c r="BS254" s="110"/>
      <c r="BT254" s="110"/>
      <c r="BU254" s="110"/>
      <c r="BV254" s="110"/>
      <c r="BW254" s="110"/>
      <c r="BX254" s="113"/>
      <c r="BY254" s="110"/>
      <c r="BZ254" s="110"/>
      <c r="CA254" s="110"/>
      <c r="CB254" s="110"/>
      <c r="CC254" s="110"/>
      <c r="CD254" s="110"/>
      <c r="CE254" s="110"/>
      <c r="CF254" s="110"/>
      <c r="CG254" s="113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66"/>
      <c r="DA254" s="70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56"/>
      <c r="DR254" s="57"/>
      <c r="DS254" s="58"/>
      <c r="DT254" s="58"/>
      <c r="DU254" s="58"/>
      <c r="DV254" s="58"/>
      <c r="DW254" s="58"/>
      <c r="DX254" s="58"/>
      <c r="DY254" s="58"/>
      <c r="DZ254" s="59"/>
      <c r="EA254" s="60"/>
      <c r="EB254" s="61"/>
      <c r="EC254" s="62"/>
      <c r="ED254" s="2"/>
      <c r="EE254" s="63"/>
      <c r="EF254" s="63"/>
      <c r="EG254" s="63"/>
      <c r="EH254" s="63"/>
      <c r="EI254" s="63"/>
      <c r="EJ254" s="63"/>
      <c r="EK254" s="63"/>
      <c r="EL254" s="63"/>
      <c r="EM254" s="63"/>
      <c r="EN254" s="63"/>
      <c r="EO254" s="63"/>
      <c r="EP254" s="63"/>
      <c r="EQ254" s="63"/>
      <c r="ER254" s="63"/>
      <c r="ES254" s="63"/>
      <c r="ET254" s="63"/>
      <c r="EU254" s="80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5"/>
      <c r="FH254" s="84"/>
      <c r="FI254" s="64"/>
      <c r="FJ254" s="8"/>
      <c r="FK254" s="48"/>
      <c r="FL254" s="48"/>
      <c r="FM254" s="48"/>
      <c r="FN254" s="48"/>
      <c r="FO254" s="48"/>
      <c r="FP254" s="48"/>
      <c r="FQ254" s="48"/>
      <c r="FR254" s="48"/>
      <c r="FS254" s="48"/>
      <c r="FT254" s="48"/>
      <c r="FU254" s="48"/>
      <c r="FV254" s="48"/>
      <c r="FW254" s="48"/>
      <c r="FX254" s="48"/>
      <c r="FY254" s="48"/>
      <c r="FZ254" s="48"/>
      <c r="GA254" s="48"/>
      <c r="GB254" s="48"/>
      <c r="GC254" s="48"/>
      <c r="GD254" s="48"/>
      <c r="GE254" s="48"/>
      <c r="GF254" s="48"/>
      <c r="GG254" s="48"/>
      <c r="GH254" s="48"/>
      <c r="GI254" s="48"/>
      <c r="GJ254" s="8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77"/>
      <c r="GY254" s="77"/>
      <c r="GZ254" s="77"/>
    </row>
    <row r="255" spans="1:208">
      <c r="A255" s="48"/>
      <c r="B255" s="49"/>
      <c r="C255" s="50"/>
      <c r="D255" s="51"/>
      <c r="E255" s="50"/>
      <c r="F255" s="52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90"/>
      <c r="V255" s="91"/>
      <c r="W255" s="92"/>
      <c r="X255" s="92"/>
      <c r="Y255" s="92"/>
      <c r="Z255" s="91"/>
      <c r="AA255" s="93"/>
      <c r="AB255" s="99"/>
      <c r="AC255" s="54"/>
      <c r="AD255" s="54"/>
      <c r="AE255" s="54"/>
      <c r="AF255" s="54"/>
      <c r="AG255" s="54"/>
      <c r="AH255" s="54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113"/>
      <c r="BB255" s="110"/>
      <c r="BC255" s="110"/>
      <c r="BD255" s="110"/>
      <c r="BE255" s="110"/>
      <c r="BF255" s="110"/>
      <c r="BG255" s="110"/>
      <c r="BH255" s="110"/>
      <c r="BI255" s="113"/>
      <c r="BJ255" s="110"/>
      <c r="BK255" s="110"/>
      <c r="BL255" s="110"/>
      <c r="BM255" s="110"/>
      <c r="BN255" s="113"/>
      <c r="BO255" s="110"/>
      <c r="BP255" s="110"/>
      <c r="BQ255" s="110"/>
      <c r="BR255" s="110"/>
      <c r="BS255" s="110"/>
      <c r="BT255" s="110"/>
      <c r="BU255" s="110"/>
      <c r="BV255" s="110"/>
      <c r="BW255" s="110"/>
      <c r="BX255" s="113"/>
      <c r="BY255" s="110"/>
      <c r="BZ255" s="110"/>
      <c r="CA255" s="110"/>
      <c r="CB255" s="110"/>
      <c r="CC255" s="110"/>
      <c r="CD255" s="110"/>
      <c r="CE255" s="110"/>
      <c r="CF255" s="110"/>
      <c r="CG255" s="113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66"/>
      <c r="DA255" s="70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56"/>
      <c r="DR255" s="57"/>
      <c r="DS255" s="58"/>
      <c r="DT255" s="58"/>
      <c r="DU255" s="58"/>
      <c r="DV255" s="58"/>
      <c r="DW255" s="58"/>
      <c r="DX255" s="58"/>
      <c r="DY255" s="58"/>
      <c r="DZ255" s="59"/>
      <c r="EA255" s="60"/>
      <c r="EB255" s="61"/>
      <c r="EC255" s="62"/>
      <c r="ED255" s="2"/>
      <c r="EE255" s="63"/>
      <c r="EF255" s="63"/>
      <c r="EG255" s="63"/>
      <c r="EH255" s="63"/>
      <c r="EI255" s="63"/>
      <c r="EJ255" s="63"/>
      <c r="EK255" s="63"/>
      <c r="EL255" s="63"/>
      <c r="EM255" s="63"/>
      <c r="EN255" s="63"/>
      <c r="EO255" s="63"/>
      <c r="EP255" s="63"/>
      <c r="EQ255" s="63"/>
      <c r="ER255" s="63"/>
      <c r="ES255" s="63"/>
      <c r="ET255" s="63"/>
      <c r="EU255" s="80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5"/>
      <c r="FH255" s="84"/>
      <c r="FI255" s="64"/>
      <c r="FJ255" s="8"/>
      <c r="FK255" s="48"/>
      <c r="FL255" s="48"/>
      <c r="FM255" s="48"/>
      <c r="FN255" s="48"/>
      <c r="FO255" s="48"/>
      <c r="FP255" s="48"/>
      <c r="FQ255" s="48"/>
      <c r="FR255" s="48"/>
      <c r="FS255" s="48"/>
      <c r="FT255" s="48"/>
      <c r="FU255" s="48"/>
      <c r="FV255" s="48"/>
      <c r="FW255" s="48"/>
      <c r="FX255" s="48"/>
      <c r="FY255" s="48"/>
      <c r="FZ255" s="48"/>
      <c r="GA255" s="48"/>
      <c r="GB255" s="48"/>
      <c r="GC255" s="48"/>
      <c r="GD255" s="48"/>
      <c r="GE255" s="48"/>
      <c r="GF255" s="48"/>
      <c r="GG255" s="48"/>
      <c r="GH255" s="48"/>
      <c r="GI255" s="48"/>
      <c r="GJ255" s="8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77"/>
      <c r="GY255" s="77"/>
      <c r="GZ255" s="77"/>
    </row>
    <row r="256" spans="1:208">
      <c r="A256" s="48"/>
      <c r="B256" s="49"/>
      <c r="C256" s="50"/>
      <c r="D256" s="51"/>
      <c r="E256" s="50"/>
      <c r="F256" s="52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90"/>
      <c r="V256" s="91"/>
      <c r="W256" s="92"/>
      <c r="X256" s="92"/>
      <c r="Y256" s="92"/>
      <c r="Z256" s="91"/>
      <c r="AA256" s="93"/>
      <c r="AB256" s="99"/>
      <c r="AC256" s="54"/>
      <c r="AD256" s="54"/>
      <c r="AE256" s="54"/>
      <c r="AF256" s="54"/>
      <c r="AG256" s="54"/>
      <c r="AH256" s="54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113"/>
      <c r="BB256" s="110"/>
      <c r="BC256" s="110"/>
      <c r="BD256" s="110"/>
      <c r="BE256" s="110"/>
      <c r="BF256" s="110"/>
      <c r="BG256" s="110"/>
      <c r="BH256" s="110"/>
      <c r="BI256" s="113"/>
      <c r="BJ256" s="110"/>
      <c r="BK256" s="110"/>
      <c r="BL256" s="110"/>
      <c r="BM256" s="110"/>
      <c r="BN256" s="113"/>
      <c r="BO256" s="110"/>
      <c r="BP256" s="110"/>
      <c r="BQ256" s="110"/>
      <c r="BR256" s="110"/>
      <c r="BS256" s="110"/>
      <c r="BT256" s="110"/>
      <c r="BU256" s="110"/>
      <c r="BV256" s="110"/>
      <c r="BW256" s="110"/>
      <c r="BX256" s="113"/>
      <c r="BY256" s="110"/>
      <c r="BZ256" s="110"/>
      <c r="CA256" s="110"/>
      <c r="CB256" s="110"/>
      <c r="CC256" s="110"/>
      <c r="CD256" s="110"/>
      <c r="CE256" s="110"/>
      <c r="CF256" s="110"/>
      <c r="CG256" s="113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66"/>
      <c r="DA256" s="70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56"/>
      <c r="DR256" s="57"/>
      <c r="DS256" s="58"/>
      <c r="DT256" s="58"/>
      <c r="DU256" s="58"/>
      <c r="DV256" s="58"/>
      <c r="DW256" s="58"/>
      <c r="DX256" s="58"/>
      <c r="DY256" s="58"/>
      <c r="DZ256" s="59"/>
      <c r="EA256" s="60"/>
      <c r="EB256" s="61"/>
      <c r="EC256" s="62"/>
      <c r="ED256" s="2"/>
      <c r="EE256" s="63"/>
      <c r="EF256" s="63"/>
      <c r="EG256" s="63"/>
      <c r="EH256" s="63"/>
      <c r="EI256" s="63"/>
      <c r="EJ256" s="63"/>
      <c r="EK256" s="63"/>
      <c r="EL256" s="63"/>
      <c r="EM256" s="63"/>
      <c r="EN256" s="63"/>
      <c r="EO256" s="63"/>
      <c r="EP256" s="63"/>
      <c r="EQ256" s="63"/>
      <c r="ER256" s="63"/>
      <c r="ES256" s="63"/>
      <c r="ET256" s="63"/>
      <c r="EU256" s="80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5"/>
      <c r="FH256" s="84"/>
      <c r="FI256" s="64"/>
      <c r="FJ256" s="8"/>
      <c r="FK256" s="48"/>
      <c r="FL256" s="48"/>
      <c r="FM256" s="48"/>
      <c r="FN256" s="48"/>
      <c r="FO256" s="48"/>
      <c r="FP256" s="48"/>
      <c r="FQ256" s="48"/>
      <c r="FR256" s="48"/>
      <c r="FS256" s="48"/>
      <c r="FT256" s="48"/>
      <c r="FU256" s="48"/>
      <c r="FV256" s="48"/>
      <c r="FW256" s="48"/>
      <c r="FX256" s="48"/>
      <c r="FY256" s="48"/>
      <c r="FZ256" s="48"/>
      <c r="GA256" s="48"/>
      <c r="GB256" s="48"/>
      <c r="GC256" s="48"/>
      <c r="GD256" s="48"/>
      <c r="GE256" s="48"/>
      <c r="GF256" s="48"/>
      <c r="GG256" s="48"/>
      <c r="GH256" s="48"/>
      <c r="GI256" s="48"/>
      <c r="GJ256" s="8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77"/>
      <c r="GY256" s="77"/>
      <c r="GZ256" s="77"/>
    </row>
    <row r="257" spans="1:208">
      <c r="A257" s="48"/>
      <c r="B257" s="49"/>
      <c r="C257" s="50"/>
      <c r="D257" s="51"/>
      <c r="E257" s="50"/>
      <c r="F257" s="52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90"/>
      <c r="V257" s="91"/>
      <c r="W257" s="92"/>
      <c r="X257" s="92"/>
      <c r="Y257" s="92"/>
      <c r="Z257" s="91"/>
      <c r="AA257" s="93"/>
      <c r="AB257" s="99"/>
      <c r="AC257" s="54"/>
      <c r="AD257" s="54"/>
      <c r="AE257" s="54"/>
      <c r="AF257" s="54"/>
      <c r="AG257" s="54"/>
      <c r="AH257" s="54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113"/>
      <c r="BB257" s="110"/>
      <c r="BC257" s="110"/>
      <c r="BD257" s="110"/>
      <c r="BE257" s="110"/>
      <c r="BF257" s="110"/>
      <c r="BG257" s="110"/>
      <c r="BH257" s="110"/>
      <c r="BI257" s="113"/>
      <c r="BJ257" s="110"/>
      <c r="BK257" s="110"/>
      <c r="BL257" s="110"/>
      <c r="BM257" s="110"/>
      <c r="BN257" s="113"/>
      <c r="BO257" s="110"/>
      <c r="BP257" s="110"/>
      <c r="BQ257" s="110"/>
      <c r="BR257" s="110"/>
      <c r="BS257" s="110"/>
      <c r="BT257" s="110"/>
      <c r="BU257" s="110"/>
      <c r="BV257" s="110"/>
      <c r="BW257" s="110"/>
      <c r="BX257" s="113"/>
      <c r="BY257" s="110"/>
      <c r="BZ257" s="110"/>
      <c r="CA257" s="110"/>
      <c r="CB257" s="110"/>
      <c r="CC257" s="110"/>
      <c r="CD257" s="110"/>
      <c r="CE257" s="110"/>
      <c r="CF257" s="110"/>
      <c r="CG257" s="113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66"/>
      <c r="DA257" s="70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56"/>
      <c r="DR257" s="57"/>
      <c r="DS257" s="58"/>
      <c r="DT257" s="58"/>
      <c r="DU257" s="58"/>
      <c r="DV257" s="58"/>
      <c r="DW257" s="58"/>
      <c r="DX257" s="58"/>
      <c r="DY257" s="58"/>
      <c r="DZ257" s="59"/>
      <c r="EA257" s="60"/>
      <c r="EB257" s="61"/>
      <c r="EC257" s="62"/>
      <c r="ED257" s="2"/>
      <c r="EE257" s="63"/>
      <c r="EF257" s="63"/>
      <c r="EG257" s="63"/>
      <c r="EH257" s="63"/>
      <c r="EI257" s="63"/>
      <c r="EJ257" s="63"/>
      <c r="EK257" s="63"/>
      <c r="EL257" s="63"/>
      <c r="EM257" s="63"/>
      <c r="EN257" s="63"/>
      <c r="EO257" s="63"/>
      <c r="EP257" s="63"/>
      <c r="EQ257" s="63"/>
      <c r="ER257" s="63"/>
      <c r="ES257" s="63"/>
      <c r="ET257" s="63"/>
      <c r="EU257" s="80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5"/>
      <c r="FH257" s="84"/>
      <c r="FI257" s="64"/>
      <c r="FJ257" s="8"/>
      <c r="FK257" s="48"/>
      <c r="FL257" s="48"/>
      <c r="FM257" s="48"/>
      <c r="FN257" s="48"/>
      <c r="FO257" s="48"/>
      <c r="FP257" s="48"/>
      <c r="FQ257" s="48"/>
      <c r="FR257" s="48"/>
      <c r="FS257" s="48"/>
      <c r="FT257" s="48"/>
      <c r="FU257" s="48"/>
      <c r="FV257" s="48"/>
      <c r="FW257" s="48"/>
      <c r="FX257" s="48"/>
      <c r="FY257" s="48"/>
      <c r="FZ257" s="48"/>
      <c r="GA257" s="48"/>
      <c r="GB257" s="48"/>
      <c r="GC257" s="48"/>
      <c r="GD257" s="48"/>
      <c r="GE257" s="48"/>
      <c r="GF257" s="48"/>
      <c r="GG257" s="48"/>
      <c r="GH257" s="48"/>
      <c r="GI257" s="48"/>
      <c r="GJ257" s="8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77"/>
      <c r="GY257" s="77"/>
      <c r="GZ257" s="77"/>
    </row>
    <row r="258" spans="1:208">
      <c r="A258" s="48"/>
      <c r="B258" s="49"/>
      <c r="C258" s="50"/>
      <c r="D258" s="51"/>
      <c r="E258" s="50"/>
      <c r="F258" s="52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90"/>
      <c r="V258" s="91"/>
      <c r="W258" s="92"/>
      <c r="X258" s="92"/>
      <c r="Y258" s="92"/>
      <c r="Z258" s="91"/>
      <c r="AA258" s="93"/>
      <c r="AB258" s="99"/>
      <c r="AC258" s="54"/>
      <c r="AD258" s="54"/>
      <c r="AE258" s="54"/>
      <c r="AF258" s="54"/>
      <c r="AG258" s="54"/>
      <c r="AH258" s="54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113"/>
      <c r="BB258" s="110"/>
      <c r="BC258" s="110"/>
      <c r="BD258" s="110"/>
      <c r="BE258" s="110"/>
      <c r="BF258" s="110"/>
      <c r="BG258" s="110"/>
      <c r="BH258" s="110"/>
      <c r="BI258" s="113"/>
      <c r="BJ258" s="110"/>
      <c r="BK258" s="110"/>
      <c r="BL258" s="110"/>
      <c r="BM258" s="110"/>
      <c r="BN258" s="113"/>
      <c r="BO258" s="110"/>
      <c r="BP258" s="110"/>
      <c r="BQ258" s="110"/>
      <c r="BR258" s="110"/>
      <c r="BS258" s="110"/>
      <c r="BT258" s="110"/>
      <c r="BU258" s="110"/>
      <c r="BV258" s="110"/>
      <c r="BW258" s="110"/>
      <c r="BX258" s="113"/>
      <c r="BY258" s="110"/>
      <c r="BZ258" s="110"/>
      <c r="CA258" s="110"/>
      <c r="CB258" s="110"/>
      <c r="CC258" s="110"/>
      <c r="CD258" s="110"/>
      <c r="CE258" s="110"/>
      <c r="CF258" s="110"/>
      <c r="CG258" s="113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66"/>
      <c r="DA258" s="70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56"/>
      <c r="DR258" s="57"/>
      <c r="DS258" s="58"/>
      <c r="DT258" s="58"/>
      <c r="DU258" s="58"/>
      <c r="DV258" s="58"/>
      <c r="DW258" s="58"/>
      <c r="DX258" s="58"/>
      <c r="DY258" s="58"/>
      <c r="DZ258" s="59"/>
      <c r="EA258" s="60"/>
      <c r="EB258" s="61"/>
      <c r="EC258" s="62"/>
      <c r="ED258" s="2"/>
      <c r="EE258" s="63"/>
      <c r="EF258" s="63"/>
      <c r="EG258" s="63"/>
      <c r="EH258" s="63"/>
      <c r="EI258" s="63"/>
      <c r="EJ258" s="63"/>
      <c r="EK258" s="63"/>
      <c r="EL258" s="63"/>
      <c r="EM258" s="63"/>
      <c r="EN258" s="63"/>
      <c r="EO258" s="63"/>
      <c r="EP258" s="63"/>
      <c r="EQ258" s="63"/>
      <c r="ER258" s="63"/>
      <c r="ES258" s="63"/>
      <c r="ET258" s="63"/>
      <c r="EU258" s="80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5"/>
      <c r="FH258" s="84"/>
      <c r="FI258" s="64"/>
      <c r="FJ258" s="8"/>
      <c r="FK258" s="48"/>
      <c r="FL258" s="48"/>
      <c r="FM258" s="48"/>
      <c r="FN258" s="48"/>
      <c r="FO258" s="48"/>
      <c r="FP258" s="48"/>
      <c r="FQ258" s="48"/>
      <c r="FR258" s="48"/>
      <c r="FS258" s="48"/>
      <c r="FT258" s="48"/>
      <c r="FU258" s="48"/>
      <c r="FV258" s="48"/>
      <c r="FW258" s="48"/>
      <c r="FX258" s="48"/>
      <c r="FY258" s="48"/>
      <c r="FZ258" s="48"/>
      <c r="GA258" s="48"/>
      <c r="GB258" s="48"/>
      <c r="GC258" s="48"/>
      <c r="GD258" s="48"/>
      <c r="GE258" s="48"/>
      <c r="GF258" s="48"/>
      <c r="GG258" s="48"/>
      <c r="GH258" s="48"/>
      <c r="GI258" s="48"/>
      <c r="GJ258" s="8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77"/>
      <c r="GY258" s="77"/>
      <c r="GZ258" s="77"/>
    </row>
    <row r="259" spans="1:208">
      <c r="A259" s="48"/>
      <c r="B259" s="49"/>
      <c r="C259" s="50"/>
      <c r="D259" s="51"/>
      <c r="E259" s="50"/>
      <c r="F259" s="52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90"/>
      <c r="V259" s="91"/>
      <c r="W259" s="92"/>
      <c r="X259" s="92"/>
      <c r="Y259" s="92"/>
      <c r="Z259" s="91"/>
      <c r="AA259" s="93"/>
      <c r="AB259" s="99"/>
      <c r="AC259" s="54"/>
      <c r="AD259" s="54"/>
      <c r="AE259" s="54"/>
      <c r="AF259" s="54"/>
      <c r="AG259" s="54"/>
      <c r="AH259" s="54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113"/>
      <c r="BB259" s="110"/>
      <c r="BC259" s="110"/>
      <c r="BD259" s="110"/>
      <c r="BE259" s="110"/>
      <c r="BF259" s="110"/>
      <c r="BG259" s="110"/>
      <c r="BH259" s="110"/>
      <c r="BI259" s="113"/>
      <c r="BJ259" s="110"/>
      <c r="BK259" s="110"/>
      <c r="BL259" s="110"/>
      <c r="BM259" s="110"/>
      <c r="BN259" s="113"/>
      <c r="BO259" s="110"/>
      <c r="BP259" s="110"/>
      <c r="BQ259" s="110"/>
      <c r="BR259" s="110"/>
      <c r="BS259" s="110"/>
      <c r="BT259" s="110"/>
      <c r="BU259" s="110"/>
      <c r="BV259" s="110"/>
      <c r="BW259" s="110"/>
      <c r="BX259" s="113"/>
      <c r="BY259" s="110"/>
      <c r="BZ259" s="110"/>
      <c r="CA259" s="110"/>
      <c r="CB259" s="110"/>
      <c r="CC259" s="110"/>
      <c r="CD259" s="110"/>
      <c r="CE259" s="110"/>
      <c r="CF259" s="110"/>
      <c r="CG259" s="113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66"/>
      <c r="DA259" s="70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56"/>
      <c r="DR259" s="57"/>
      <c r="DS259" s="58"/>
      <c r="DT259" s="58"/>
      <c r="DU259" s="58"/>
      <c r="DV259" s="58"/>
      <c r="DW259" s="58"/>
      <c r="DX259" s="58"/>
      <c r="DY259" s="58"/>
      <c r="DZ259" s="59"/>
      <c r="EA259" s="60"/>
      <c r="EB259" s="61"/>
      <c r="EC259" s="62"/>
      <c r="ED259" s="2"/>
      <c r="EE259" s="63"/>
      <c r="EF259" s="63"/>
      <c r="EG259" s="63"/>
      <c r="EH259" s="63"/>
      <c r="EI259" s="63"/>
      <c r="EJ259" s="63"/>
      <c r="EK259" s="63"/>
      <c r="EL259" s="63"/>
      <c r="EM259" s="63"/>
      <c r="EN259" s="63"/>
      <c r="EO259" s="63"/>
      <c r="EP259" s="63"/>
      <c r="EQ259" s="63"/>
      <c r="ER259" s="63"/>
      <c r="ES259" s="63"/>
      <c r="ET259" s="63"/>
      <c r="EU259" s="80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5"/>
      <c r="FH259" s="84"/>
      <c r="FI259" s="64"/>
      <c r="FJ259" s="8"/>
      <c r="FK259" s="48"/>
      <c r="FL259" s="48"/>
      <c r="FM259" s="48"/>
      <c r="FN259" s="48"/>
      <c r="FO259" s="48"/>
      <c r="FP259" s="48"/>
      <c r="FQ259" s="48"/>
      <c r="FR259" s="48"/>
      <c r="FS259" s="48"/>
      <c r="FT259" s="48"/>
      <c r="FU259" s="48"/>
      <c r="FV259" s="48"/>
      <c r="FW259" s="48"/>
      <c r="FX259" s="48"/>
      <c r="FY259" s="48"/>
      <c r="FZ259" s="48"/>
      <c r="GA259" s="48"/>
      <c r="GB259" s="48"/>
      <c r="GC259" s="48"/>
      <c r="GD259" s="48"/>
      <c r="GE259" s="48"/>
      <c r="GF259" s="48"/>
      <c r="GG259" s="48"/>
      <c r="GH259" s="48"/>
      <c r="GI259" s="48"/>
      <c r="GJ259" s="8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77"/>
      <c r="GY259" s="77"/>
      <c r="GZ259" s="77"/>
    </row>
    <row r="260" spans="1:208">
      <c r="A260" s="48"/>
      <c r="B260" s="49"/>
      <c r="C260" s="50"/>
      <c r="D260" s="51"/>
      <c r="E260" s="50"/>
      <c r="F260" s="52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90"/>
      <c r="V260" s="91"/>
      <c r="W260" s="92"/>
      <c r="X260" s="92"/>
      <c r="Y260" s="92"/>
      <c r="Z260" s="91"/>
      <c r="AA260" s="93"/>
      <c r="AB260" s="99"/>
      <c r="AC260" s="54"/>
      <c r="AD260" s="54"/>
      <c r="AE260" s="54"/>
      <c r="AF260" s="54"/>
      <c r="AG260" s="54"/>
      <c r="AH260" s="54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113"/>
      <c r="BB260" s="110"/>
      <c r="BC260" s="110"/>
      <c r="BD260" s="110"/>
      <c r="BE260" s="110"/>
      <c r="BF260" s="110"/>
      <c r="BG260" s="110"/>
      <c r="BH260" s="110"/>
      <c r="BI260" s="113"/>
      <c r="BJ260" s="110"/>
      <c r="BK260" s="110"/>
      <c r="BL260" s="110"/>
      <c r="BM260" s="110"/>
      <c r="BN260" s="113"/>
      <c r="BO260" s="110"/>
      <c r="BP260" s="110"/>
      <c r="BQ260" s="110"/>
      <c r="BR260" s="110"/>
      <c r="BS260" s="110"/>
      <c r="BT260" s="110"/>
      <c r="BU260" s="110"/>
      <c r="BV260" s="110"/>
      <c r="BW260" s="110"/>
      <c r="BX260" s="113"/>
      <c r="BY260" s="110"/>
      <c r="BZ260" s="110"/>
      <c r="CA260" s="110"/>
      <c r="CB260" s="110"/>
      <c r="CC260" s="110"/>
      <c r="CD260" s="110"/>
      <c r="CE260" s="110"/>
      <c r="CF260" s="110"/>
      <c r="CG260" s="113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66"/>
      <c r="DA260" s="70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56"/>
      <c r="DR260" s="57"/>
      <c r="DS260" s="58"/>
      <c r="DT260" s="58"/>
      <c r="DU260" s="58"/>
      <c r="DV260" s="58"/>
      <c r="DW260" s="58"/>
      <c r="DX260" s="58"/>
      <c r="DY260" s="58"/>
      <c r="DZ260" s="59"/>
      <c r="EA260" s="60"/>
      <c r="EB260" s="61"/>
      <c r="EC260" s="62"/>
      <c r="ED260" s="2"/>
      <c r="EE260" s="63"/>
      <c r="EF260" s="63"/>
      <c r="EG260" s="63"/>
      <c r="EH260" s="63"/>
      <c r="EI260" s="63"/>
      <c r="EJ260" s="63"/>
      <c r="EK260" s="63"/>
      <c r="EL260" s="63"/>
      <c r="EM260" s="63"/>
      <c r="EN260" s="63"/>
      <c r="EO260" s="63"/>
      <c r="EP260" s="63"/>
      <c r="EQ260" s="63"/>
      <c r="ER260" s="63"/>
      <c r="ES260" s="63"/>
      <c r="ET260" s="63"/>
      <c r="EU260" s="80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5"/>
      <c r="FH260" s="84"/>
      <c r="FI260" s="64"/>
      <c r="FJ260" s="8"/>
      <c r="FK260" s="48"/>
      <c r="FL260" s="48"/>
      <c r="FM260" s="48"/>
      <c r="FN260" s="48"/>
      <c r="FO260" s="48"/>
      <c r="FP260" s="48"/>
      <c r="FQ260" s="48"/>
      <c r="FR260" s="48"/>
      <c r="FS260" s="48"/>
      <c r="FT260" s="48"/>
      <c r="FU260" s="48"/>
      <c r="FV260" s="48"/>
      <c r="FW260" s="48"/>
      <c r="FX260" s="48"/>
      <c r="FY260" s="48"/>
      <c r="FZ260" s="48"/>
      <c r="GA260" s="48"/>
      <c r="GB260" s="48"/>
      <c r="GC260" s="48"/>
      <c r="GD260" s="48"/>
      <c r="GE260" s="48"/>
      <c r="GF260" s="48"/>
      <c r="GG260" s="48"/>
      <c r="GH260" s="48"/>
      <c r="GI260" s="48"/>
      <c r="GJ260" s="8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77"/>
      <c r="GY260" s="77"/>
      <c r="GZ260" s="77"/>
    </row>
    <row r="261" spans="1:208">
      <c r="A261" s="48"/>
      <c r="B261" s="49"/>
      <c r="C261" s="50"/>
      <c r="D261" s="51"/>
      <c r="E261" s="50"/>
      <c r="F261" s="52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90"/>
      <c r="V261" s="91"/>
      <c r="W261" s="92"/>
      <c r="X261" s="92"/>
      <c r="Y261" s="92"/>
      <c r="Z261" s="91"/>
      <c r="AA261" s="93"/>
      <c r="AB261" s="99"/>
      <c r="AC261" s="54"/>
      <c r="AD261" s="54"/>
      <c r="AE261" s="54"/>
      <c r="AF261" s="54"/>
      <c r="AG261" s="54"/>
      <c r="AH261" s="54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113"/>
      <c r="BB261" s="110"/>
      <c r="BC261" s="110"/>
      <c r="BD261" s="110"/>
      <c r="BE261" s="110"/>
      <c r="BF261" s="110"/>
      <c r="BG261" s="110"/>
      <c r="BH261" s="110"/>
      <c r="BI261" s="113"/>
      <c r="BJ261" s="110"/>
      <c r="BK261" s="110"/>
      <c r="BL261" s="110"/>
      <c r="BM261" s="110"/>
      <c r="BN261" s="113"/>
      <c r="BO261" s="110"/>
      <c r="BP261" s="110"/>
      <c r="BQ261" s="110"/>
      <c r="BR261" s="110"/>
      <c r="BS261" s="110"/>
      <c r="BT261" s="110"/>
      <c r="BU261" s="110"/>
      <c r="BV261" s="110"/>
      <c r="BW261" s="110"/>
      <c r="BX261" s="113"/>
      <c r="BY261" s="110"/>
      <c r="BZ261" s="110"/>
      <c r="CA261" s="110"/>
      <c r="CB261" s="110"/>
      <c r="CC261" s="110"/>
      <c r="CD261" s="110"/>
      <c r="CE261" s="110"/>
      <c r="CF261" s="110"/>
      <c r="CG261" s="113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66"/>
      <c r="DA261" s="70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56"/>
      <c r="DR261" s="57"/>
      <c r="DS261" s="58"/>
      <c r="DT261" s="58"/>
      <c r="DU261" s="58"/>
      <c r="DV261" s="58"/>
      <c r="DW261" s="58"/>
      <c r="DX261" s="58"/>
      <c r="DY261" s="58"/>
      <c r="DZ261" s="59"/>
      <c r="EA261" s="60"/>
      <c r="EB261" s="61"/>
      <c r="EC261" s="62"/>
      <c r="ED261" s="2"/>
      <c r="EE261" s="63"/>
      <c r="EF261" s="63"/>
      <c r="EG261" s="63"/>
      <c r="EH261" s="63"/>
      <c r="EI261" s="63"/>
      <c r="EJ261" s="63"/>
      <c r="EK261" s="63"/>
      <c r="EL261" s="63"/>
      <c r="EM261" s="63"/>
      <c r="EN261" s="63"/>
      <c r="EO261" s="63"/>
      <c r="EP261" s="63"/>
      <c r="EQ261" s="63"/>
      <c r="ER261" s="63"/>
      <c r="ES261" s="63"/>
      <c r="ET261" s="63"/>
      <c r="EU261" s="80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5"/>
      <c r="FH261" s="84"/>
      <c r="FI261" s="64"/>
      <c r="FJ261" s="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8"/>
      <c r="GG261" s="48"/>
      <c r="GH261" s="48"/>
      <c r="GI261" s="48"/>
      <c r="GJ261" s="8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77"/>
      <c r="GY261" s="77"/>
      <c r="GZ261" s="77"/>
    </row>
    <row r="262" spans="1:208">
      <c r="A262" s="48"/>
      <c r="B262" s="49"/>
      <c r="C262" s="50"/>
      <c r="D262" s="51"/>
      <c r="E262" s="50"/>
      <c r="F262" s="52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90"/>
      <c r="V262" s="91"/>
      <c r="W262" s="92"/>
      <c r="X262" s="92"/>
      <c r="Y262" s="92"/>
      <c r="Z262" s="91"/>
      <c r="AA262" s="93"/>
      <c r="AB262" s="99"/>
      <c r="AC262" s="54"/>
      <c r="AD262" s="54"/>
      <c r="AE262" s="54"/>
      <c r="AF262" s="54"/>
      <c r="AG262" s="54"/>
      <c r="AH262" s="54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113"/>
      <c r="BB262" s="110"/>
      <c r="BC262" s="110"/>
      <c r="BD262" s="110"/>
      <c r="BE262" s="110"/>
      <c r="BF262" s="110"/>
      <c r="BG262" s="110"/>
      <c r="BH262" s="110"/>
      <c r="BI262" s="113"/>
      <c r="BJ262" s="110"/>
      <c r="BK262" s="110"/>
      <c r="BL262" s="110"/>
      <c r="BM262" s="110"/>
      <c r="BN262" s="113"/>
      <c r="BO262" s="110"/>
      <c r="BP262" s="110"/>
      <c r="BQ262" s="110"/>
      <c r="BR262" s="110"/>
      <c r="BS262" s="110"/>
      <c r="BT262" s="110"/>
      <c r="BU262" s="110"/>
      <c r="BV262" s="110"/>
      <c r="BW262" s="110"/>
      <c r="BX262" s="113"/>
      <c r="BY262" s="110"/>
      <c r="BZ262" s="110"/>
      <c r="CA262" s="110"/>
      <c r="CB262" s="110"/>
      <c r="CC262" s="110"/>
      <c r="CD262" s="110"/>
      <c r="CE262" s="110"/>
      <c r="CF262" s="110"/>
      <c r="CG262" s="113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66"/>
      <c r="DA262" s="70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56"/>
      <c r="DR262" s="57"/>
      <c r="DS262" s="58"/>
      <c r="DT262" s="58"/>
      <c r="DU262" s="58"/>
      <c r="DV262" s="58"/>
      <c r="DW262" s="58"/>
      <c r="DX262" s="58"/>
      <c r="DY262" s="58"/>
      <c r="DZ262" s="59"/>
      <c r="EA262" s="60"/>
      <c r="EB262" s="61"/>
      <c r="EC262" s="62"/>
      <c r="ED262" s="2"/>
      <c r="EE262" s="63"/>
      <c r="EF262" s="63"/>
      <c r="EG262" s="63"/>
      <c r="EH262" s="63"/>
      <c r="EI262" s="63"/>
      <c r="EJ262" s="63"/>
      <c r="EK262" s="63"/>
      <c r="EL262" s="63"/>
      <c r="EM262" s="63"/>
      <c r="EN262" s="63"/>
      <c r="EO262" s="63"/>
      <c r="EP262" s="63"/>
      <c r="EQ262" s="63"/>
      <c r="ER262" s="63"/>
      <c r="ES262" s="63"/>
      <c r="ET262" s="63"/>
      <c r="EU262" s="80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5"/>
      <c r="FH262" s="84"/>
      <c r="FI262" s="64"/>
      <c r="FJ262" s="8"/>
      <c r="FK262" s="48"/>
      <c r="FL262" s="48"/>
      <c r="FM262" s="48"/>
      <c r="FN262" s="48"/>
      <c r="FO262" s="48"/>
      <c r="FP262" s="48"/>
      <c r="FQ262" s="48"/>
      <c r="FR262" s="48"/>
      <c r="FS262" s="48"/>
      <c r="FT262" s="48"/>
      <c r="FU262" s="48"/>
      <c r="FV262" s="48"/>
      <c r="FW262" s="48"/>
      <c r="FX262" s="48"/>
      <c r="FY262" s="48"/>
      <c r="FZ262" s="48"/>
      <c r="GA262" s="48"/>
      <c r="GB262" s="48"/>
      <c r="GC262" s="48"/>
      <c r="GD262" s="48"/>
      <c r="GE262" s="48"/>
      <c r="GF262" s="48"/>
      <c r="GG262" s="48"/>
      <c r="GH262" s="48"/>
      <c r="GI262" s="48"/>
      <c r="GJ262" s="8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77"/>
      <c r="GY262" s="77"/>
      <c r="GZ262" s="77"/>
    </row>
    <row r="263" spans="1:208">
      <c r="A263" s="48"/>
      <c r="B263" s="49"/>
      <c r="C263" s="50"/>
      <c r="D263" s="51"/>
      <c r="E263" s="50"/>
      <c r="F263" s="52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90"/>
      <c r="V263" s="91"/>
      <c r="W263" s="92"/>
      <c r="X263" s="92"/>
      <c r="Y263" s="92"/>
      <c r="Z263" s="91"/>
      <c r="AA263" s="93"/>
      <c r="AB263" s="99"/>
      <c r="AC263" s="54"/>
      <c r="AD263" s="54"/>
      <c r="AE263" s="54"/>
      <c r="AF263" s="54"/>
      <c r="AG263" s="54"/>
      <c r="AH263" s="54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113"/>
      <c r="BB263" s="110"/>
      <c r="BC263" s="110"/>
      <c r="BD263" s="110"/>
      <c r="BE263" s="110"/>
      <c r="BF263" s="110"/>
      <c r="BG263" s="110"/>
      <c r="BH263" s="110"/>
      <c r="BI263" s="113"/>
      <c r="BJ263" s="110"/>
      <c r="BK263" s="110"/>
      <c r="BL263" s="110"/>
      <c r="BM263" s="110"/>
      <c r="BN263" s="113"/>
      <c r="BO263" s="110"/>
      <c r="BP263" s="110"/>
      <c r="BQ263" s="110"/>
      <c r="BR263" s="110"/>
      <c r="BS263" s="110"/>
      <c r="BT263" s="110"/>
      <c r="BU263" s="110"/>
      <c r="BV263" s="110"/>
      <c r="BW263" s="110"/>
      <c r="BX263" s="113"/>
      <c r="BY263" s="110"/>
      <c r="BZ263" s="110"/>
      <c r="CA263" s="110"/>
      <c r="CB263" s="110"/>
      <c r="CC263" s="110"/>
      <c r="CD263" s="110"/>
      <c r="CE263" s="110"/>
      <c r="CF263" s="110"/>
      <c r="CG263" s="113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66"/>
      <c r="DA263" s="70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56"/>
      <c r="DR263" s="57"/>
      <c r="DS263" s="58"/>
      <c r="DT263" s="58"/>
      <c r="DU263" s="58"/>
      <c r="DV263" s="58"/>
      <c r="DW263" s="58"/>
      <c r="DX263" s="58"/>
      <c r="DY263" s="58"/>
      <c r="DZ263" s="59"/>
      <c r="EA263" s="60"/>
      <c r="EB263" s="61"/>
      <c r="EC263" s="62"/>
      <c r="ED263" s="2"/>
      <c r="EE263" s="63"/>
      <c r="EF263" s="63"/>
      <c r="EG263" s="63"/>
      <c r="EH263" s="63"/>
      <c r="EI263" s="63"/>
      <c r="EJ263" s="63"/>
      <c r="EK263" s="63"/>
      <c r="EL263" s="63"/>
      <c r="EM263" s="63"/>
      <c r="EN263" s="63"/>
      <c r="EO263" s="63"/>
      <c r="EP263" s="63"/>
      <c r="EQ263" s="63"/>
      <c r="ER263" s="63"/>
      <c r="ES263" s="63"/>
      <c r="ET263" s="63"/>
      <c r="EU263" s="80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5"/>
      <c r="FH263" s="84"/>
      <c r="FI263" s="64"/>
      <c r="FJ263" s="8"/>
      <c r="FK263" s="48"/>
      <c r="FL263" s="48"/>
      <c r="FM263" s="48"/>
      <c r="FN263" s="48"/>
      <c r="FO263" s="48"/>
      <c r="FP263" s="48"/>
      <c r="FQ263" s="48"/>
      <c r="FR263" s="48"/>
      <c r="FS263" s="48"/>
      <c r="FT263" s="48"/>
      <c r="FU263" s="48"/>
      <c r="FV263" s="48"/>
      <c r="FW263" s="48"/>
      <c r="FX263" s="48"/>
      <c r="FY263" s="48"/>
      <c r="FZ263" s="48"/>
      <c r="GA263" s="48"/>
      <c r="GB263" s="48"/>
      <c r="GC263" s="48"/>
      <c r="GD263" s="48"/>
      <c r="GE263" s="48"/>
      <c r="GF263" s="48"/>
      <c r="GG263" s="48"/>
      <c r="GH263" s="48"/>
      <c r="GI263" s="48"/>
      <c r="GJ263" s="8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77"/>
      <c r="GY263" s="77"/>
      <c r="GZ263" s="77"/>
    </row>
    <row r="264" spans="1:208">
      <c r="A264" s="48"/>
      <c r="B264" s="49"/>
      <c r="C264" s="50"/>
      <c r="D264" s="51"/>
      <c r="E264" s="50"/>
      <c r="F264" s="52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90"/>
      <c r="V264" s="91"/>
      <c r="W264" s="92"/>
      <c r="X264" s="92"/>
      <c r="Y264" s="92"/>
      <c r="Z264" s="91"/>
      <c r="AA264" s="93"/>
      <c r="AB264" s="99"/>
      <c r="AC264" s="54"/>
      <c r="AD264" s="54"/>
      <c r="AE264" s="54"/>
      <c r="AF264" s="54"/>
      <c r="AG264" s="54"/>
      <c r="AH264" s="54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113"/>
      <c r="BB264" s="110"/>
      <c r="BC264" s="110"/>
      <c r="BD264" s="110"/>
      <c r="BE264" s="110"/>
      <c r="BF264" s="110"/>
      <c r="BG264" s="110"/>
      <c r="BH264" s="110"/>
      <c r="BI264" s="113"/>
      <c r="BJ264" s="110"/>
      <c r="BK264" s="110"/>
      <c r="BL264" s="110"/>
      <c r="BM264" s="110"/>
      <c r="BN264" s="113"/>
      <c r="BO264" s="110"/>
      <c r="BP264" s="110"/>
      <c r="BQ264" s="110"/>
      <c r="BR264" s="110"/>
      <c r="BS264" s="110"/>
      <c r="BT264" s="110"/>
      <c r="BU264" s="110"/>
      <c r="BV264" s="110"/>
      <c r="BW264" s="110"/>
      <c r="BX264" s="113"/>
      <c r="BY264" s="110"/>
      <c r="BZ264" s="110"/>
      <c r="CA264" s="110"/>
      <c r="CB264" s="110"/>
      <c r="CC264" s="110"/>
      <c r="CD264" s="110"/>
      <c r="CE264" s="110"/>
      <c r="CF264" s="110"/>
      <c r="CG264" s="113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66"/>
      <c r="DA264" s="70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56"/>
      <c r="DR264" s="57"/>
      <c r="DS264" s="58"/>
      <c r="DT264" s="58"/>
      <c r="DU264" s="58"/>
      <c r="DV264" s="58"/>
      <c r="DW264" s="58"/>
      <c r="DX264" s="58"/>
      <c r="DY264" s="58"/>
      <c r="DZ264" s="59"/>
      <c r="EA264" s="60"/>
      <c r="EB264" s="61"/>
      <c r="EC264" s="62"/>
      <c r="ED264" s="2"/>
      <c r="EE264" s="63"/>
      <c r="EF264" s="63"/>
      <c r="EG264" s="63"/>
      <c r="EH264" s="63"/>
      <c r="EI264" s="63"/>
      <c r="EJ264" s="63"/>
      <c r="EK264" s="63"/>
      <c r="EL264" s="63"/>
      <c r="EM264" s="63"/>
      <c r="EN264" s="63"/>
      <c r="EO264" s="63"/>
      <c r="EP264" s="63"/>
      <c r="EQ264" s="63"/>
      <c r="ER264" s="63"/>
      <c r="ES264" s="63"/>
      <c r="ET264" s="63"/>
      <c r="EU264" s="80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5"/>
      <c r="FH264" s="84"/>
      <c r="FI264" s="64"/>
      <c r="FJ264" s="8"/>
      <c r="FK264" s="48"/>
      <c r="FL264" s="48"/>
      <c r="FM264" s="48"/>
      <c r="FN264" s="48"/>
      <c r="FO264" s="48"/>
      <c r="FP264" s="48"/>
      <c r="FQ264" s="48"/>
      <c r="FR264" s="48"/>
      <c r="FS264" s="48"/>
      <c r="FT264" s="48"/>
      <c r="FU264" s="48"/>
      <c r="FV264" s="48"/>
      <c r="FW264" s="48"/>
      <c r="FX264" s="48"/>
      <c r="FY264" s="48"/>
      <c r="FZ264" s="48"/>
      <c r="GA264" s="48"/>
      <c r="GB264" s="48"/>
      <c r="GC264" s="48"/>
      <c r="GD264" s="48"/>
      <c r="GE264" s="48"/>
      <c r="GF264" s="48"/>
      <c r="GG264" s="48"/>
      <c r="GH264" s="48"/>
      <c r="GI264" s="48"/>
      <c r="GJ264" s="8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77"/>
      <c r="GY264" s="77"/>
      <c r="GZ264" s="77"/>
    </row>
    <row r="265" spans="1:208">
      <c r="A265" s="48"/>
      <c r="B265" s="49"/>
      <c r="C265" s="50"/>
      <c r="D265" s="51"/>
      <c r="E265" s="50"/>
      <c r="F265" s="52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90"/>
      <c r="V265" s="91"/>
      <c r="W265" s="92"/>
      <c r="X265" s="92"/>
      <c r="Y265" s="92"/>
      <c r="Z265" s="91"/>
      <c r="AA265" s="93"/>
      <c r="AB265" s="99"/>
      <c r="AC265" s="54"/>
      <c r="AD265" s="54"/>
      <c r="AE265" s="54"/>
      <c r="AF265" s="54"/>
      <c r="AG265" s="54"/>
      <c r="AH265" s="54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113"/>
      <c r="BB265" s="110"/>
      <c r="BC265" s="110"/>
      <c r="BD265" s="110"/>
      <c r="BE265" s="110"/>
      <c r="BF265" s="110"/>
      <c r="BG265" s="110"/>
      <c r="BH265" s="110"/>
      <c r="BI265" s="113"/>
      <c r="BJ265" s="110"/>
      <c r="BK265" s="110"/>
      <c r="BL265" s="110"/>
      <c r="BM265" s="110"/>
      <c r="BN265" s="113"/>
      <c r="BO265" s="110"/>
      <c r="BP265" s="110"/>
      <c r="BQ265" s="110"/>
      <c r="BR265" s="110"/>
      <c r="BS265" s="110"/>
      <c r="BT265" s="110"/>
      <c r="BU265" s="110"/>
      <c r="BV265" s="110"/>
      <c r="BW265" s="110"/>
      <c r="BX265" s="113"/>
      <c r="BY265" s="110"/>
      <c r="BZ265" s="110"/>
      <c r="CA265" s="110"/>
      <c r="CB265" s="110"/>
      <c r="CC265" s="110"/>
      <c r="CD265" s="110"/>
      <c r="CE265" s="110"/>
      <c r="CF265" s="110"/>
      <c r="CG265" s="113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66"/>
      <c r="DA265" s="70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56"/>
      <c r="DR265" s="57"/>
      <c r="DS265" s="58"/>
      <c r="DT265" s="58"/>
      <c r="DU265" s="58"/>
      <c r="DV265" s="58"/>
      <c r="DW265" s="58"/>
      <c r="DX265" s="58"/>
      <c r="DY265" s="58"/>
      <c r="DZ265" s="59"/>
      <c r="EA265" s="60"/>
      <c r="EB265" s="61"/>
      <c r="EC265" s="62"/>
      <c r="ED265" s="2"/>
      <c r="EE265" s="63"/>
      <c r="EF265" s="63"/>
      <c r="EG265" s="63"/>
      <c r="EH265" s="63"/>
      <c r="EI265" s="63"/>
      <c r="EJ265" s="63"/>
      <c r="EK265" s="63"/>
      <c r="EL265" s="63"/>
      <c r="EM265" s="63"/>
      <c r="EN265" s="63"/>
      <c r="EO265" s="63"/>
      <c r="EP265" s="63"/>
      <c r="EQ265" s="63"/>
      <c r="ER265" s="63"/>
      <c r="ES265" s="63"/>
      <c r="ET265" s="63"/>
      <c r="EU265" s="80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5"/>
      <c r="FH265" s="84"/>
      <c r="FI265" s="64"/>
      <c r="FJ265" s="8"/>
      <c r="FK265" s="48"/>
      <c r="FL265" s="48"/>
      <c r="FM265" s="48"/>
      <c r="FN265" s="48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8"/>
      <c r="GG265" s="48"/>
      <c r="GH265" s="48"/>
      <c r="GI265" s="48"/>
      <c r="GJ265" s="8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77"/>
      <c r="GY265" s="77"/>
      <c r="GZ265" s="77"/>
    </row>
    <row r="266" spans="1:208">
      <c r="A266" s="48"/>
      <c r="B266" s="49"/>
      <c r="C266" s="50"/>
      <c r="D266" s="51"/>
      <c r="E266" s="50"/>
      <c r="F266" s="52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90"/>
      <c r="V266" s="91"/>
      <c r="W266" s="92"/>
      <c r="X266" s="92"/>
      <c r="Y266" s="92"/>
      <c r="Z266" s="91"/>
      <c r="AA266" s="93"/>
      <c r="AB266" s="99"/>
      <c r="AC266" s="54"/>
      <c r="AD266" s="54"/>
      <c r="AE266" s="54"/>
      <c r="AF266" s="54"/>
      <c r="AG266" s="54"/>
      <c r="AH266" s="54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113"/>
      <c r="BB266" s="110"/>
      <c r="BC266" s="110"/>
      <c r="BD266" s="110"/>
      <c r="BE266" s="110"/>
      <c r="BF266" s="110"/>
      <c r="BG266" s="110"/>
      <c r="BH266" s="110"/>
      <c r="BI266" s="113"/>
      <c r="BJ266" s="110"/>
      <c r="BK266" s="110"/>
      <c r="BL266" s="110"/>
      <c r="BM266" s="110"/>
      <c r="BN266" s="113"/>
      <c r="BO266" s="110"/>
      <c r="BP266" s="110"/>
      <c r="BQ266" s="110"/>
      <c r="BR266" s="110"/>
      <c r="BS266" s="110"/>
      <c r="BT266" s="110"/>
      <c r="BU266" s="110"/>
      <c r="BV266" s="110"/>
      <c r="BW266" s="110"/>
      <c r="BX266" s="113"/>
      <c r="BY266" s="110"/>
      <c r="BZ266" s="110"/>
      <c r="CA266" s="110"/>
      <c r="CB266" s="110"/>
      <c r="CC266" s="110"/>
      <c r="CD266" s="110"/>
      <c r="CE266" s="110"/>
      <c r="CF266" s="110"/>
      <c r="CG266" s="113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66"/>
      <c r="DA266" s="70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56"/>
      <c r="DR266" s="57"/>
      <c r="DS266" s="58"/>
      <c r="DT266" s="58"/>
      <c r="DU266" s="58"/>
      <c r="DV266" s="58"/>
      <c r="DW266" s="58"/>
      <c r="DX266" s="58"/>
      <c r="DY266" s="58"/>
      <c r="DZ266" s="59"/>
      <c r="EA266" s="60"/>
      <c r="EB266" s="61"/>
      <c r="EC266" s="62"/>
      <c r="ED266" s="2"/>
      <c r="EE266" s="63"/>
      <c r="EF266" s="63"/>
      <c r="EG266" s="63"/>
      <c r="EH266" s="63"/>
      <c r="EI266" s="63"/>
      <c r="EJ266" s="63"/>
      <c r="EK266" s="63"/>
      <c r="EL266" s="63"/>
      <c r="EM266" s="63"/>
      <c r="EN266" s="63"/>
      <c r="EO266" s="63"/>
      <c r="EP266" s="63"/>
      <c r="EQ266" s="63"/>
      <c r="ER266" s="63"/>
      <c r="ES266" s="63"/>
      <c r="ET266" s="63"/>
      <c r="EU266" s="80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5"/>
      <c r="FH266" s="84"/>
      <c r="FI266" s="64"/>
      <c r="FJ266" s="8"/>
      <c r="FK266" s="48"/>
      <c r="FL266" s="48"/>
      <c r="FM266" s="48"/>
      <c r="FN266" s="48"/>
      <c r="FO266" s="48"/>
      <c r="FP266" s="48"/>
      <c r="FQ266" s="48"/>
      <c r="FR266" s="48"/>
      <c r="FS266" s="48"/>
      <c r="FT266" s="48"/>
      <c r="FU266" s="48"/>
      <c r="FV266" s="48"/>
      <c r="FW266" s="48"/>
      <c r="FX266" s="48"/>
      <c r="FY266" s="48"/>
      <c r="FZ266" s="48"/>
      <c r="GA266" s="48"/>
      <c r="GB266" s="48"/>
      <c r="GC266" s="48"/>
      <c r="GD266" s="48"/>
      <c r="GE266" s="48"/>
      <c r="GF266" s="48"/>
      <c r="GG266" s="48"/>
      <c r="GH266" s="48"/>
      <c r="GI266" s="48"/>
      <c r="GJ266" s="8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77"/>
      <c r="GY266" s="77"/>
      <c r="GZ266" s="77"/>
    </row>
    <row r="267" spans="1:208">
      <c r="A267" s="48"/>
      <c r="B267" s="49"/>
      <c r="C267" s="50"/>
      <c r="D267" s="51"/>
      <c r="E267" s="50"/>
      <c r="F267" s="52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90"/>
      <c r="V267" s="91"/>
      <c r="W267" s="92"/>
      <c r="X267" s="92"/>
      <c r="Y267" s="92"/>
      <c r="Z267" s="91"/>
      <c r="AA267" s="93"/>
      <c r="AB267" s="99"/>
      <c r="AC267" s="54"/>
      <c r="AD267" s="54"/>
      <c r="AE267" s="54"/>
      <c r="AF267" s="54"/>
      <c r="AG267" s="54"/>
      <c r="AH267" s="54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113"/>
      <c r="BB267" s="110"/>
      <c r="BC267" s="110"/>
      <c r="BD267" s="110"/>
      <c r="BE267" s="110"/>
      <c r="BF267" s="110"/>
      <c r="BG267" s="110"/>
      <c r="BH267" s="110"/>
      <c r="BI267" s="113"/>
      <c r="BJ267" s="110"/>
      <c r="BK267" s="110"/>
      <c r="BL267" s="110"/>
      <c r="BM267" s="110"/>
      <c r="BN267" s="113"/>
      <c r="BO267" s="110"/>
      <c r="BP267" s="110"/>
      <c r="BQ267" s="110"/>
      <c r="BR267" s="110"/>
      <c r="BS267" s="110"/>
      <c r="BT267" s="110"/>
      <c r="BU267" s="110"/>
      <c r="BV267" s="110"/>
      <c r="BW267" s="110"/>
      <c r="BX267" s="113"/>
      <c r="BY267" s="110"/>
      <c r="BZ267" s="110"/>
      <c r="CA267" s="110"/>
      <c r="CB267" s="110"/>
      <c r="CC267" s="110"/>
      <c r="CD267" s="110"/>
      <c r="CE267" s="110"/>
      <c r="CF267" s="110"/>
      <c r="CG267" s="113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66"/>
      <c r="DA267" s="70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56"/>
      <c r="DR267" s="57"/>
      <c r="DS267" s="58"/>
      <c r="DT267" s="58"/>
      <c r="DU267" s="58"/>
      <c r="DV267" s="58"/>
      <c r="DW267" s="58"/>
      <c r="DX267" s="58"/>
      <c r="DY267" s="58"/>
      <c r="DZ267" s="59"/>
      <c r="EA267" s="60"/>
      <c r="EB267" s="61"/>
      <c r="EC267" s="62"/>
      <c r="ED267" s="2"/>
      <c r="EE267" s="63"/>
      <c r="EF267" s="63"/>
      <c r="EG267" s="63"/>
      <c r="EH267" s="63"/>
      <c r="EI267" s="63"/>
      <c r="EJ267" s="63"/>
      <c r="EK267" s="63"/>
      <c r="EL267" s="63"/>
      <c r="EM267" s="63"/>
      <c r="EN267" s="63"/>
      <c r="EO267" s="63"/>
      <c r="EP267" s="63"/>
      <c r="EQ267" s="63"/>
      <c r="ER267" s="63"/>
      <c r="ES267" s="63"/>
      <c r="ET267" s="63"/>
      <c r="EU267" s="80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5"/>
      <c r="FH267" s="84"/>
      <c r="FI267" s="64"/>
      <c r="FJ267" s="8"/>
      <c r="FK267" s="48"/>
      <c r="FL267" s="48"/>
      <c r="FM267" s="48"/>
      <c r="FN267" s="48"/>
      <c r="FO267" s="48"/>
      <c r="FP267" s="48"/>
      <c r="FQ267" s="48"/>
      <c r="FR267" s="48"/>
      <c r="FS267" s="48"/>
      <c r="FT267" s="48"/>
      <c r="FU267" s="48"/>
      <c r="FV267" s="48"/>
      <c r="FW267" s="48"/>
      <c r="FX267" s="48"/>
      <c r="FY267" s="48"/>
      <c r="FZ267" s="48"/>
      <c r="GA267" s="48"/>
      <c r="GB267" s="48"/>
      <c r="GC267" s="48"/>
      <c r="GD267" s="48"/>
      <c r="GE267" s="48"/>
      <c r="GF267" s="48"/>
      <c r="GG267" s="48"/>
      <c r="GH267" s="48"/>
      <c r="GI267" s="48"/>
      <c r="GJ267" s="8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77"/>
      <c r="GY267" s="77"/>
      <c r="GZ267" s="77"/>
    </row>
    <row r="268" spans="1:208">
      <c r="A268" s="48"/>
      <c r="B268" s="49"/>
      <c r="C268" s="50"/>
      <c r="D268" s="51"/>
      <c r="E268" s="50"/>
      <c r="F268" s="52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90"/>
      <c r="V268" s="91"/>
      <c r="W268" s="92"/>
      <c r="X268" s="92"/>
      <c r="Y268" s="92"/>
      <c r="Z268" s="91"/>
      <c r="AA268" s="93"/>
      <c r="AB268" s="99"/>
      <c r="AC268" s="54"/>
      <c r="AD268" s="54"/>
      <c r="AE268" s="54"/>
      <c r="AF268" s="54"/>
      <c r="AG268" s="54"/>
      <c r="AH268" s="54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113"/>
      <c r="BB268" s="110"/>
      <c r="BC268" s="110"/>
      <c r="BD268" s="110"/>
      <c r="BE268" s="110"/>
      <c r="BF268" s="110"/>
      <c r="BG268" s="110"/>
      <c r="BH268" s="110"/>
      <c r="BI268" s="113"/>
      <c r="BJ268" s="110"/>
      <c r="BK268" s="110"/>
      <c r="BL268" s="110"/>
      <c r="BM268" s="110"/>
      <c r="BN268" s="113"/>
      <c r="BO268" s="110"/>
      <c r="BP268" s="110"/>
      <c r="BQ268" s="110"/>
      <c r="BR268" s="110"/>
      <c r="BS268" s="110"/>
      <c r="BT268" s="110"/>
      <c r="BU268" s="110"/>
      <c r="BV268" s="110"/>
      <c r="BW268" s="110"/>
      <c r="BX268" s="113"/>
      <c r="BY268" s="110"/>
      <c r="BZ268" s="110"/>
      <c r="CA268" s="110"/>
      <c r="CB268" s="110"/>
      <c r="CC268" s="110"/>
      <c r="CD268" s="110"/>
      <c r="CE268" s="110"/>
      <c r="CF268" s="110"/>
      <c r="CG268" s="113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66"/>
      <c r="DA268" s="70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56"/>
      <c r="DR268" s="57"/>
      <c r="DS268" s="58"/>
      <c r="DT268" s="58"/>
      <c r="DU268" s="58"/>
      <c r="DV268" s="58"/>
      <c r="DW268" s="58"/>
      <c r="DX268" s="58"/>
      <c r="DY268" s="58"/>
      <c r="DZ268" s="59"/>
      <c r="EA268" s="60"/>
      <c r="EB268" s="61"/>
      <c r="EC268" s="62"/>
      <c r="ED268" s="2"/>
      <c r="EE268" s="63"/>
      <c r="EF268" s="63"/>
      <c r="EG268" s="63"/>
      <c r="EH268" s="63"/>
      <c r="EI268" s="63"/>
      <c r="EJ268" s="63"/>
      <c r="EK268" s="63"/>
      <c r="EL268" s="63"/>
      <c r="EM268" s="63"/>
      <c r="EN268" s="63"/>
      <c r="EO268" s="63"/>
      <c r="EP268" s="63"/>
      <c r="EQ268" s="63"/>
      <c r="ER268" s="63"/>
      <c r="ES268" s="63"/>
      <c r="ET268" s="63"/>
      <c r="EU268" s="80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5"/>
      <c r="FH268" s="84"/>
      <c r="FI268" s="64"/>
      <c r="FJ268" s="8"/>
      <c r="FK268" s="48"/>
      <c r="FL268" s="48"/>
      <c r="FM268" s="48"/>
      <c r="FN268" s="48"/>
      <c r="FO268" s="48"/>
      <c r="FP268" s="48"/>
      <c r="FQ268" s="48"/>
      <c r="FR268" s="48"/>
      <c r="FS268" s="48"/>
      <c r="FT268" s="48"/>
      <c r="FU268" s="48"/>
      <c r="FV268" s="48"/>
      <c r="FW268" s="48"/>
      <c r="FX268" s="48"/>
      <c r="FY268" s="48"/>
      <c r="FZ268" s="48"/>
      <c r="GA268" s="48"/>
      <c r="GB268" s="48"/>
      <c r="GC268" s="48"/>
      <c r="GD268" s="48"/>
      <c r="GE268" s="48"/>
      <c r="GF268" s="48"/>
      <c r="GG268" s="48"/>
      <c r="GH268" s="48"/>
      <c r="GI268" s="48"/>
      <c r="GJ268" s="8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77"/>
      <c r="GY268" s="77"/>
      <c r="GZ268" s="77"/>
    </row>
    <row r="269" spans="1:208">
      <c r="A269" s="48"/>
      <c r="B269" s="49"/>
      <c r="C269" s="50"/>
      <c r="D269" s="51"/>
      <c r="E269" s="50"/>
      <c r="F269" s="52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90"/>
      <c r="V269" s="91"/>
      <c r="W269" s="92"/>
      <c r="X269" s="92"/>
      <c r="Y269" s="92"/>
      <c r="Z269" s="91"/>
      <c r="AA269" s="93"/>
      <c r="AB269" s="99"/>
      <c r="AC269" s="54"/>
      <c r="AD269" s="54"/>
      <c r="AE269" s="54"/>
      <c r="AF269" s="54"/>
      <c r="AG269" s="54"/>
      <c r="AH269" s="54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113"/>
      <c r="BB269" s="110"/>
      <c r="BC269" s="110"/>
      <c r="BD269" s="110"/>
      <c r="BE269" s="110"/>
      <c r="BF269" s="110"/>
      <c r="BG269" s="110"/>
      <c r="BH269" s="110"/>
      <c r="BI269" s="113"/>
      <c r="BJ269" s="110"/>
      <c r="BK269" s="110"/>
      <c r="BL269" s="110"/>
      <c r="BM269" s="110"/>
      <c r="BN269" s="113"/>
      <c r="BO269" s="110"/>
      <c r="BP269" s="110"/>
      <c r="BQ269" s="110"/>
      <c r="BR269" s="110"/>
      <c r="BS269" s="110"/>
      <c r="BT269" s="110"/>
      <c r="BU269" s="110"/>
      <c r="BV269" s="110"/>
      <c r="BW269" s="110"/>
      <c r="BX269" s="113"/>
      <c r="BY269" s="110"/>
      <c r="BZ269" s="110"/>
      <c r="CA269" s="110"/>
      <c r="CB269" s="110"/>
      <c r="CC269" s="110"/>
      <c r="CD269" s="110"/>
      <c r="CE269" s="110"/>
      <c r="CF269" s="110"/>
      <c r="CG269" s="113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66"/>
      <c r="DA269" s="70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56"/>
      <c r="DR269" s="57"/>
      <c r="DS269" s="58"/>
      <c r="DT269" s="58"/>
      <c r="DU269" s="58"/>
      <c r="DV269" s="58"/>
      <c r="DW269" s="58"/>
      <c r="DX269" s="58"/>
      <c r="DY269" s="58"/>
      <c r="DZ269" s="59"/>
      <c r="EA269" s="60"/>
      <c r="EB269" s="61"/>
      <c r="EC269" s="62"/>
      <c r="ED269" s="2"/>
      <c r="EE269" s="63"/>
      <c r="EF269" s="63"/>
      <c r="EG269" s="63"/>
      <c r="EH269" s="63"/>
      <c r="EI269" s="63"/>
      <c r="EJ269" s="63"/>
      <c r="EK269" s="63"/>
      <c r="EL269" s="63"/>
      <c r="EM269" s="63"/>
      <c r="EN269" s="63"/>
      <c r="EO269" s="63"/>
      <c r="EP269" s="63"/>
      <c r="EQ269" s="63"/>
      <c r="ER269" s="63"/>
      <c r="ES269" s="63"/>
      <c r="ET269" s="63"/>
      <c r="EU269" s="80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5"/>
      <c r="FH269" s="84"/>
      <c r="FI269" s="64"/>
      <c r="FJ269" s="8"/>
      <c r="FK269" s="48"/>
      <c r="FL269" s="48"/>
      <c r="FM269" s="48"/>
      <c r="FN269" s="48"/>
      <c r="FO269" s="48"/>
      <c r="FP269" s="48"/>
      <c r="FQ269" s="48"/>
      <c r="FR269" s="48"/>
      <c r="FS269" s="48"/>
      <c r="FT269" s="48"/>
      <c r="FU269" s="48"/>
      <c r="FV269" s="48"/>
      <c r="FW269" s="48"/>
      <c r="FX269" s="48"/>
      <c r="FY269" s="48"/>
      <c r="FZ269" s="48"/>
      <c r="GA269" s="48"/>
      <c r="GB269" s="48"/>
      <c r="GC269" s="48"/>
      <c r="GD269" s="48"/>
      <c r="GE269" s="48"/>
      <c r="GF269" s="48"/>
      <c r="GG269" s="48"/>
      <c r="GH269" s="48"/>
      <c r="GI269" s="48"/>
      <c r="GJ269" s="8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77"/>
      <c r="GY269" s="77"/>
      <c r="GZ269" s="77"/>
    </row>
    <row r="270" spans="1:208">
      <c r="A270" s="48"/>
      <c r="B270" s="49"/>
      <c r="C270" s="50"/>
      <c r="D270" s="51"/>
      <c r="E270" s="50"/>
      <c r="F270" s="52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90"/>
      <c r="V270" s="91"/>
      <c r="W270" s="92"/>
      <c r="X270" s="92"/>
      <c r="Y270" s="92"/>
      <c r="Z270" s="91"/>
      <c r="AA270" s="93"/>
      <c r="AB270" s="99"/>
      <c r="AC270" s="54"/>
      <c r="AD270" s="54"/>
      <c r="AE270" s="54"/>
      <c r="AF270" s="54"/>
      <c r="AG270" s="54"/>
      <c r="AH270" s="54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113"/>
      <c r="BB270" s="110"/>
      <c r="BC270" s="110"/>
      <c r="BD270" s="110"/>
      <c r="BE270" s="110"/>
      <c r="BF270" s="110"/>
      <c r="BG270" s="110"/>
      <c r="BH270" s="110"/>
      <c r="BI270" s="113"/>
      <c r="BJ270" s="110"/>
      <c r="BK270" s="110"/>
      <c r="BL270" s="110"/>
      <c r="BM270" s="110"/>
      <c r="BN270" s="113"/>
      <c r="BO270" s="110"/>
      <c r="BP270" s="110"/>
      <c r="BQ270" s="110"/>
      <c r="BR270" s="110"/>
      <c r="BS270" s="110"/>
      <c r="BT270" s="110"/>
      <c r="BU270" s="110"/>
      <c r="BV270" s="110"/>
      <c r="BW270" s="110"/>
      <c r="BX270" s="113"/>
      <c r="BY270" s="110"/>
      <c r="BZ270" s="110"/>
      <c r="CA270" s="110"/>
      <c r="CB270" s="110"/>
      <c r="CC270" s="110"/>
      <c r="CD270" s="110"/>
      <c r="CE270" s="110"/>
      <c r="CF270" s="110"/>
      <c r="CG270" s="113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66"/>
      <c r="DA270" s="70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56"/>
      <c r="DR270" s="57"/>
      <c r="DS270" s="58"/>
      <c r="DT270" s="58"/>
      <c r="DU270" s="58"/>
      <c r="DV270" s="58"/>
      <c r="DW270" s="58"/>
      <c r="DX270" s="58"/>
      <c r="DY270" s="58"/>
      <c r="DZ270" s="59"/>
      <c r="EA270" s="60"/>
      <c r="EB270" s="61"/>
      <c r="EC270" s="62"/>
      <c r="ED270" s="2"/>
      <c r="EE270" s="63"/>
      <c r="EF270" s="63"/>
      <c r="EG270" s="63"/>
      <c r="EH270" s="63"/>
      <c r="EI270" s="63"/>
      <c r="EJ270" s="63"/>
      <c r="EK270" s="63"/>
      <c r="EL270" s="63"/>
      <c r="EM270" s="63"/>
      <c r="EN270" s="63"/>
      <c r="EO270" s="63"/>
      <c r="EP270" s="63"/>
      <c r="EQ270" s="63"/>
      <c r="ER270" s="63"/>
      <c r="ES270" s="63"/>
      <c r="ET270" s="63"/>
      <c r="EU270" s="80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5"/>
      <c r="FH270" s="84"/>
      <c r="FI270" s="64"/>
      <c r="FJ270" s="8"/>
      <c r="FK270" s="48"/>
      <c r="FL270" s="48"/>
      <c r="FM270" s="48"/>
      <c r="FN270" s="48"/>
      <c r="FO270" s="48"/>
      <c r="FP270" s="48"/>
      <c r="FQ270" s="48"/>
      <c r="FR270" s="48"/>
      <c r="FS270" s="48"/>
      <c r="FT270" s="48"/>
      <c r="FU270" s="48"/>
      <c r="FV270" s="48"/>
      <c r="FW270" s="48"/>
      <c r="FX270" s="48"/>
      <c r="FY270" s="48"/>
      <c r="FZ270" s="48"/>
      <c r="GA270" s="48"/>
      <c r="GB270" s="48"/>
      <c r="GC270" s="48"/>
      <c r="GD270" s="48"/>
      <c r="GE270" s="48"/>
      <c r="GF270" s="48"/>
      <c r="GG270" s="48"/>
      <c r="GH270" s="48"/>
      <c r="GI270" s="48"/>
      <c r="GJ270" s="8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77"/>
      <c r="GY270" s="77"/>
      <c r="GZ270" s="77"/>
    </row>
    <row r="271" spans="1:208">
      <c r="A271" s="48"/>
      <c r="B271" s="49"/>
      <c r="C271" s="50"/>
      <c r="D271" s="51"/>
      <c r="E271" s="50"/>
      <c r="F271" s="52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90"/>
      <c r="V271" s="91"/>
      <c r="W271" s="92"/>
      <c r="X271" s="92"/>
      <c r="Y271" s="92"/>
      <c r="Z271" s="91"/>
      <c r="AA271" s="93"/>
      <c r="AB271" s="99"/>
      <c r="AC271" s="54"/>
      <c r="AD271" s="54"/>
      <c r="AE271" s="54"/>
      <c r="AF271" s="54"/>
      <c r="AG271" s="54"/>
      <c r="AH271" s="54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113"/>
      <c r="BB271" s="110"/>
      <c r="BC271" s="110"/>
      <c r="BD271" s="110"/>
      <c r="BE271" s="110"/>
      <c r="BF271" s="110"/>
      <c r="BG271" s="110"/>
      <c r="BH271" s="110"/>
      <c r="BI271" s="113"/>
      <c r="BJ271" s="110"/>
      <c r="BK271" s="110"/>
      <c r="BL271" s="110"/>
      <c r="BM271" s="110"/>
      <c r="BN271" s="113"/>
      <c r="BO271" s="110"/>
      <c r="BP271" s="110"/>
      <c r="BQ271" s="110"/>
      <c r="BR271" s="110"/>
      <c r="BS271" s="110"/>
      <c r="BT271" s="110"/>
      <c r="BU271" s="110"/>
      <c r="BV271" s="110"/>
      <c r="BW271" s="110"/>
      <c r="BX271" s="113"/>
      <c r="BY271" s="110"/>
      <c r="BZ271" s="110"/>
      <c r="CA271" s="110"/>
      <c r="CB271" s="110"/>
      <c r="CC271" s="110"/>
      <c r="CD271" s="110"/>
      <c r="CE271" s="110"/>
      <c r="CF271" s="110"/>
      <c r="CG271" s="113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66"/>
      <c r="DA271" s="70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56"/>
      <c r="DR271" s="57"/>
      <c r="DS271" s="58"/>
      <c r="DT271" s="58"/>
      <c r="DU271" s="58"/>
      <c r="DV271" s="58"/>
      <c r="DW271" s="58"/>
      <c r="DX271" s="58"/>
      <c r="DY271" s="58"/>
      <c r="DZ271" s="59"/>
      <c r="EA271" s="60"/>
      <c r="EB271" s="61"/>
      <c r="EC271" s="62"/>
      <c r="ED271" s="2"/>
      <c r="EE271" s="63"/>
      <c r="EF271" s="63"/>
      <c r="EG271" s="63"/>
      <c r="EH271" s="63"/>
      <c r="EI271" s="63"/>
      <c r="EJ271" s="63"/>
      <c r="EK271" s="63"/>
      <c r="EL271" s="63"/>
      <c r="EM271" s="63"/>
      <c r="EN271" s="63"/>
      <c r="EO271" s="63"/>
      <c r="EP271" s="63"/>
      <c r="EQ271" s="63"/>
      <c r="ER271" s="63"/>
      <c r="ES271" s="63"/>
      <c r="ET271" s="63"/>
      <c r="EU271" s="80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5"/>
      <c r="FH271" s="84"/>
      <c r="FI271" s="64"/>
      <c r="FJ271" s="8"/>
      <c r="FK271" s="48"/>
      <c r="FL271" s="48"/>
      <c r="FM271" s="48"/>
      <c r="FN271" s="48"/>
      <c r="FO271" s="48"/>
      <c r="FP271" s="48"/>
      <c r="FQ271" s="48"/>
      <c r="FR271" s="48"/>
      <c r="FS271" s="48"/>
      <c r="FT271" s="48"/>
      <c r="FU271" s="48"/>
      <c r="FV271" s="48"/>
      <c r="FW271" s="48"/>
      <c r="FX271" s="48"/>
      <c r="FY271" s="48"/>
      <c r="FZ271" s="48"/>
      <c r="GA271" s="48"/>
      <c r="GB271" s="48"/>
      <c r="GC271" s="48"/>
      <c r="GD271" s="48"/>
      <c r="GE271" s="48"/>
      <c r="GF271" s="48"/>
      <c r="GG271" s="48"/>
      <c r="GH271" s="48"/>
      <c r="GI271" s="48"/>
      <c r="GJ271" s="8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77"/>
      <c r="GY271" s="77"/>
      <c r="GZ271" s="77"/>
    </row>
    <row r="272" spans="1:208">
      <c r="A272" s="48"/>
      <c r="B272" s="49"/>
      <c r="C272" s="50"/>
      <c r="D272" s="51"/>
      <c r="E272" s="50"/>
      <c r="F272" s="52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90"/>
      <c r="V272" s="91"/>
      <c r="W272" s="92"/>
      <c r="X272" s="92"/>
      <c r="Y272" s="92"/>
      <c r="Z272" s="91"/>
      <c r="AA272" s="93"/>
      <c r="AB272" s="99"/>
      <c r="AC272" s="54"/>
      <c r="AD272" s="54"/>
      <c r="AE272" s="54"/>
      <c r="AF272" s="54"/>
      <c r="AG272" s="54"/>
      <c r="AH272" s="54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113"/>
      <c r="BB272" s="110"/>
      <c r="BC272" s="110"/>
      <c r="BD272" s="110"/>
      <c r="BE272" s="110"/>
      <c r="BF272" s="110"/>
      <c r="BG272" s="110"/>
      <c r="BH272" s="110"/>
      <c r="BI272" s="113"/>
      <c r="BJ272" s="110"/>
      <c r="BK272" s="110"/>
      <c r="BL272" s="110"/>
      <c r="BM272" s="110"/>
      <c r="BN272" s="113"/>
      <c r="BO272" s="110"/>
      <c r="BP272" s="110"/>
      <c r="BQ272" s="110"/>
      <c r="BR272" s="110"/>
      <c r="BS272" s="110"/>
      <c r="BT272" s="110"/>
      <c r="BU272" s="110"/>
      <c r="BV272" s="110"/>
      <c r="BW272" s="110"/>
      <c r="BX272" s="113"/>
      <c r="BY272" s="110"/>
      <c r="BZ272" s="110"/>
      <c r="CA272" s="110"/>
      <c r="CB272" s="110"/>
      <c r="CC272" s="110"/>
      <c r="CD272" s="110"/>
      <c r="CE272" s="110"/>
      <c r="CF272" s="110"/>
      <c r="CG272" s="113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66"/>
      <c r="DA272" s="70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56"/>
      <c r="DR272" s="57"/>
      <c r="DS272" s="58"/>
      <c r="DT272" s="58"/>
      <c r="DU272" s="58"/>
      <c r="DV272" s="58"/>
      <c r="DW272" s="58"/>
      <c r="DX272" s="58"/>
      <c r="DY272" s="58"/>
      <c r="DZ272" s="59"/>
      <c r="EA272" s="60"/>
      <c r="EB272" s="61"/>
      <c r="EC272" s="62"/>
      <c r="ED272" s="2"/>
      <c r="EE272" s="63"/>
      <c r="EF272" s="63"/>
      <c r="EG272" s="63"/>
      <c r="EH272" s="63"/>
      <c r="EI272" s="63"/>
      <c r="EJ272" s="63"/>
      <c r="EK272" s="63"/>
      <c r="EL272" s="63"/>
      <c r="EM272" s="63"/>
      <c r="EN272" s="63"/>
      <c r="EO272" s="63"/>
      <c r="EP272" s="63"/>
      <c r="EQ272" s="63"/>
      <c r="ER272" s="63"/>
      <c r="ES272" s="63"/>
      <c r="ET272" s="63"/>
      <c r="EU272" s="80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5"/>
      <c r="FH272" s="84"/>
      <c r="FI272" s="64"/>
      <c r="FJ272" s="8"/>
      <c r="FK272" s="48"/>
      <c r="FL272" s="48"/>
      <c r="FM272" s="48"/>
      <c r="FN272" s="48"/>
      <c r="FO272" s="48"/>
      <c r="FP272" s="48"/>
      <c r="FQ272" s="48"/>
      <c r="FR272" s="48"/>
      <c r="FS272" s="48"/>
      <c r="FT272" s="48"/>
      <c r="FU272" s="48"/>
      <c r="FV272" s="48"/>
      <c r="FW272" s="48"/>
      <c r="FX272" s="48"/>
      <c r="FY272" s="48"/>
      <c r="FZ272" s="48"/>
      <c r="GA272" s="48"/>
      <c r="GB272" s="48"/>
      <c r="GC272" s="48"/>
      <c r="GD272" s="48"/>
      <c r="GE272" s="48"/>
      <c r="GF272" s="48"/>
      <c r="GG272" s="48"/>
      <c r="GH272" s="48"/>
      <c r="GI272" s="48"/>
      <c r="GJ272" s="8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77"/>
      <c r="GY272" s="77"/>
      <c r="GZ272" s="77"/>
    </row>
    <row r="273" spans="1:208">
      <c r="A273" s="48"/>
      <c r="B273" s="49"/>
      <c r="C273" s="50"/>
      <c r="D273" s="51"/>
      <c r="E273" s="50"/>
      <c r="F273" s="52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90"/>
      <c r="V273" s="91"/>
      <c r="W273" s="92"/>
      <c r="X273" s="92"/>
      <c r="Y273" s="92"/>
      <c r="Z273" s="91"/>
      <c r="AA273" s="93"/>
      <c r="AB273" s="99"/>
      <c r="AC273" s="54"/>
      <c r="AD273" s="54"/>
      <c r="AE273" s="54"/>
      <c r="AF273" s="54"/>
      <c r="AG273" s="54"/>
      <c r="AH273" s="54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113"/>
      <c r="BB273" s="110"/>
      <c r="BC273" s="110"/>
      <c r="BD273" s="110"/>
      <c r="BE273" s="110"/>
      <c r="BF273" s="110"/>
      <c r="BG273" s="110"/>
      <c r="BH273" s="110"/>
      <c r="BI273" s="113"/>
      <c r="BJ273" s="110"/>
      <c r="BK273" s="110"/>
      <c r="BL273" s="110"/>
      <c r="BM273" s="110"/>
      <c r="BN273" s="113"/>
      <c r="BO273" s="110"/>
      <c r="BP273" s="110"/>
      <c r="BQ273" s="110"/>
      <c r="BR273" s="110"/>
      <c r="BS273" s="110"/>
      <c r="BT273" s="110"/>
      <c r="BU273" s="110"/>
      <c r="BV273" s="110"/>
      <c r="BW273" s="110"/>
      <c r="BX273" s="113"/>
      <c r="BY273" s="110"/>
      <c r="BZ273" s="110"/>
      <c r="CA273" s="110"/>
      <c r="CB273" s="110"/>
      <c r="CC273" s="110"/>
      <c r="CD273" s="110"/>
      <c r="CE273" s="110"/>
      <c r="CF273" s="110"/>
      <c r="CG273" s="113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66"/>
      <c r="DA273" s="70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56"/>
      <c r="DR273" s="57"/>
      <c r="DS273" s="58"/>
      <c r="DT273" s="58"/>
      <c r="DU273" s="58"/>
      <c r="DV273" s="58"/>
      <c r="DW273" s="58"/>
      <c r="DX273" s="58"/>
      <c r="DY273" s="58"/>
      <c r="DZ273" s="59"/>
      <c r="EA273" s="60"/>
      <c r="EB273" s="61"/>
      <c r="EC273" s="62"/>
      <c r="ED273" s="2"/>
      <c r="EE273" s="63"/>
      <c r="EF273" s="63"/>
      <c r="EG273" s="63"/>
      <c r="EH273" s="63"/>
      <c r="EI273" s="63"/>
      <c r="EJ273" s="63"/>
      <c r="EK273" s="63"/>
      <c r="EL273" s="63"/>
      <c r="EM273" s="63"/>
      <c r="EN273" s="63"/>
      <c r="EO273" s="63"/>
      <c r="EP273" s="63"/>
      <c r="EQ273" s="63"/>
      <c r="ER273" s="63"/>
      <c r="ES273" s="63"/>
      <c r="ET273" s="63"/>
      <c r="EU273" s="80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5"/>
      <c r="FH273" s="84"/>
      <c r="FI273" s="64"/>
      <c r="FJ273" s="8"/>
      <c r="FK273" s="48"/>
      <c r="FL273" s="48"/>
      <c r="FM273" s="48"/>
      <c r="FN273" s="48"/>
      <c r="FO273" s="48"/>
      <c r="FP273" s="48"/>
      <c r="FQ273" s="48"/>
      <c r="FR273" s="48"/>
      <c r="FS273" s="48"/>
      <c r="FT273" s="48"/>
      <c r="FU273" s="48"/>
      <c r="FV273" s="48"/>
      <c r="FW273" s="48"/>
      <c r="FX273" s="48"/>
      <c r="FY273" s="48"/>
      <c r="FZ273" s="48"/>
      <c r="GA273" s="48"/>
      <c r="GB273" s="48"/>
      <c r="GC273" s="48"/>
      <c r="GD273" s="48"/>
      <c r="GE273" s="48"/>
      <c r="GF273" s="48"/>
      <c r="GG273" s="48"/>
      <c r="GH273" s="48"/>
      <c r="GI273" s="48"/>
      <c r="GJ273" s="8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77"/>
      <c r="GY273" s="77"/>
      <c r="GZ273" s="77"/>
    </row>
    <row r="274" spans="1:208">
      <c r="A274" s="48"/>
      <c r="B274" s="49"/>
      <c r="C274" s="50"/>
      <c r="D274" s="51"/>
      <c r="E274" s="50"/>
      <c r="F274" s="52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90"/>
      <c r="V274" s="91"/>
      <c r="W274" s="92"/>
      <c r="X274" s="92"/>
      <c r="Y274" s="92"/>
      <c r="Z274" s="91"/>
      <c r="AA274" s="93"/>
      <c r="AB274" s="99"/>
      <c r="AC274" s="54"/>
      <c r="AD274" s="54"/>
      <c r="AE274" s="54"/>
      <c r="AF274" s="54"/>
      <c r="AG274" s="54"/>
      <c r="AH274" s="54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113"/>
      <c r="BB274" s="110"/>
      <c r="BC274" s="110"/>
      <c r="BD274" s="110"/>
      <c r="BE274" s="110"/>
      <c r="BF274" s="110"/>
      <c r="BG274" s="110"/>
      <c r="BH274" s="110"/>
      <c r="BI274" s="113"/>
      <c r="BJ274" s="110"/>
      <c r="BK274" s="110"/>
      <c r="BL274" s="110"/>
      <c r="BM274" s="110"/>
      <c r="BN274" s="113"/>
      <c r="BO274" s="110"/>
      <c r="BP274" s="110"/>
      <c r="BQ274" s="110"/>
      <c r="BR274" s="110"/>
      <c r="BS274" s="110"/>
      <c r="BT274" s="110"/>
      <c r="BU274" s="110"/>
      <c r="BV274" s="110"/>
      <c r="BW274" s="110"/>
      <c r="BX274" s="113"/>
      <c r="BY274" s="110"/>
      <c r="BZ274" s="110"/>
      <c r="CA274" s="110"/>
      <c r="CB274" s="110"/>
      <c r="CC274" s="110"/>
      <c r="CD274" s="110"/>
      <c r="CE274" s="110"/>
      <c r="CF274" s="110"/>
      <c r="CG274" s="113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66"/>
      <c r="DA274" s="70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56"/>
      <c r="DR274" s="57"/>
      <c r="DS274" s="58"/>
      <c r="DT274" s="58"/>
      <c r="DU274" s="58"/>
      <c r="DV274" s="58"/>
      <c r="DW274" s="58"/>
      <c r="DX274" s="58"/>
      <c r="DY274" s="58"/>
      <c r="DZ274" s="59"/>
      <c r="EA274" s="60"/>
      <c r="EB274" s="61"/>
      <c r="EC274" s="62"/>
      <c r="ED274" s="2"/>
      <c r="EE274" s="63"/>
      <c r="EF274" s="63"/>
      <c r="EG274" s="63"/>
      <c r="EH274" s="63"/>
      <c r="EI274" s="63"/>
      <c r="EJ274" s="63"/>
      <c r="EK274" s="63"/>
      <c r="EL274" s="63"/>
      <c r="EM274" s="63"/>
      <c r="EN274" s="63"/>
      <c r="EO274" s="63"/>
      <c r="EP274" s="63"/>
      <c r="EQ274" s="63"/>
      <c r="ER274" s="63"/>
      <c r="ES274" s="63"/>
      <c r="ET274" s="63"/>
      <c r="EU274" s="80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5"/>
      <c r="FH274" s="84"/>
      <c r="FI274" s="64"/>
      <c r="FJ274" s="8"/>
      <c r="FK274" s="48"/>
      <c r="FL274" s="48"/>
      <c r="FM274" s="48"/>
      <c r="FN274" s="48"/>
      <c r="FO274" s="48"/>
      <c r="FP274" s="48"/>
      <c r="FQ274" s="48"/>
      <c r="FR274" s="48"/>
      <c r="FS274" s="48"/>
      <c r="FT274" s="48"/>
      <c r="FU274" s="48"/>
      <c r="FV274" s="48"/>
      <c r="FW274" s="48"/>
      <c r="FX274" s="48"/>
      <c r="FY274" s="48"/>
      <c r="FZ274" s="48"/>
      <c r="GA274" s="48"/>
      <c r="GB274" s="48"/>
      <c r="GC274" s="48"/>
      <c r="GD274" s="48"/>
      <c r="GE274" s="48"/>
      <c r="GF274" s="48"/>
      <c r="GG274" s="48"/>
      <c r="GH274" s="48"/>
      <c r="GI274" s="48"/>
      <c r="GJ274" s="8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77"/>
      <c r="GY274" s="77"/>
      <c r="GZ274" s="77"/>
    </row>
    <row r="275" spans="1:208">
      <c r="A275" s="48"/>
      <c r="B275" s="49"/>
      <c r="C275" s="50"/>
      <c r="D275" s="51"/>
      <c r="E275" s="50"/>
      <c r="F275" s="52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90"/>
      <c r="V275" s="91"/>
      <c r="W275" s="92"/>
      <c r="X275" s="92"/>
      <c r="Y275" s="92"/>
      <c r="Z275" s="91"/>
      <c r="AA275" s="93"/>
      <c r="AB275" s="99"/>
      <c r="AC275" s="54"/>
      <c r="AD275" s="54"/>
      <c r="AE275" s="54"/>
      <c r="AF275" s="54"/>
      <c r="AG275" s="54"/>
      <c r="AH275" s="54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113"/>
      <c r="BB275" s="110"/>
      <c r="BC275" s="110"/>
      <c r="BD275" s="110"/>
      <c r="BE275" s="110"/>
      <c r="BF275" s="110"/>
      <c r="BG275" s="110"/>
      <c r="BH275" s="110"/>
      <c r="BI275" s="113"/>
      <c r="BJ275" s="110"/>
      <c r="BK275" s="110"/>
      <c r="BL275" s="110"/>
      <c r="BM275" s="110"/>
      <c r="BN275" s="113"/>
      <c r="BO275" s="110"/>
      <c r="BP275" s="110"/>
      <c r="BQ275" s="110"/>
      <c r="BR275" s="110"/>
      <c r="BS275" s="110"/>
      <c r="BT275" s="110"/>
      <c r="BU275" s="110"/>
      <c r="BV275" s="110"/>
      <c r="BW275" s="110"/>
      <c r="BX275" s="113"/>
      <c r="BY275" s="110"/>
      <c r="BZ275" s="110"/>
      <c r="CA275" s="110"/>
      <c r="CB275" s="110"/>
      <c r="CC275" s="110"/>
      <c r="CD275" s="110"/>
      <c r="CE275" s="110"/>
      <c r="CF275" s="110"/>
      <c r="CG275" s="113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66"/>
      <c r="DA275" s="70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56"/>
      <c r="DR275" s="57"/>
      <c r="DS275" s="58"/>
      <c r="DT275" s="58"/>
      <c r="DU275" s="58"/>
      <c r="DV275" s="58"/>
      <c r="DW275" s="58"/>
      <c r="DX275" s="58"/>
      <c r="DY275" s="58"/>
      <c r="DZ275" s="59"/>
      <c r="EA275" s="60"/>
      <c r="EB275" s="61"/>
      <c r="EC275" s="62"/>
      <c r="ED275" s="2"/>
      <c r="EE275" s="63"/>
      <c r="EF275" s="63"/>
      <c r="EG275" s="63"/>
      <c r="EH275" s="63"/>
      <c r="EI275" s="63"/>
      <c r="EJ275" s="63"/>
      <c r="EK275" s="63"/>
      <c r="EL275" s="63"/>
      <c r="EM275" s="63"/>
      <c r="EN275" s="63"/>
      <c r="EO275" s="63"/>
      <c r="EP275" s="63"/>
      <c r="EQ275" s="63"/>
      <c r="ER275" s="63"/>
      <c r="ES275" s="63"/>
      <c r="ET275" s="63"/>
      <c r="EU275" s="80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5"/>
      <c r="FH275" s="84"/>
      <c r="FI275" s="64"/>
      <c r="FJ275" s="8"/>
      <c r="FK275" s="48"/>
      <c r="FL275" s="48"/>
      <c r="FM275" s="48"/>
      <c r="FN275" s="48"/>
      <c r="FO275" s="48"/>
      <c r="FP275" s="48"/>
      <c r="FQ275" s="48"/>
      <c r="FR275" s="48"/>
      <c r="FS275" s="48"/>
      <c r="FT275" s="48"/>
      <c r="FU275" s="48"/>
      <c r="FV275" s="48"/>
      <c r="FW275" s="48"/>
      <c r="FX275" s="48"/>
      <c r="FY275" s="48"/>
      <c r="FZ275" s="48"/>
      <c r="GA275" s="48"/>
      <c r="GB275" s="48"/>
      <c r="GC275" s="48"/>
      <c r="GD275" s="48"/>
      <c r="GE275" s="48"/>
      <c r="GF275" s="48"/>
      <c r="GG275" s="48"/>
      <c r="GH275" s="48"/>
      <c r="GI275" s="48"/>
      <c r="GJ275" s="8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77"/>
      <c r="GY275" s="77"/>
      <c r="GZ275" s="77"/>
    </row>
    <row r="276" spans="1:208">
      <c r="A276" s="48"/>
      <c r="B276" s="49"/>
      <c r="C276" s="50"/>
      <c r="D276" s="51"/>
      <c r="E276" s="50"/>
      <c r="F276" s="52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90"/>
      <c r="V276" s="91"/>
      <c r="W276" s="92"/>
      <c r="X276" s="92"/>
      <c r="Y276" s="92"/>
      <c r="Z276" s="91"/>
      <c r="AA276" s="93"/>
      <c r="AB276" s="99"/>
      <c r="AC276" s="54"/>
      <c r="AD276" s="54"/>
      <c r="AE276" s="54"/>
      <c r="AF276" s="54"/>
      <c r="AG276" s="54"/>
      <c r="AH276" s="54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113"/>
      <c r="BB276" s="110"/>
      <c r="BC276" s="110"/>
      <c r="BD276" s="110"/>
      <c r="BE276" s="110"/>
      <c r="BF276" s="110"/>
      <c r="BG276" s="110"/>
      <c r="BH276" s="110"/>
      <c r="BI276" s="113"/>
      <c r="BJ276" s="110"/>
      <c r="BK276" s="110"/>
      <c r="BL276" s="110"/>
      <c r="BM276" s="110"/>
      <c r="BN276" s="113"/>
      <c r="BO276" s="110"/>
      <c r="BP276" s="110"/>
      <c r="BQ276" s="110"/>
      <c r="BR276" s="110"/>
      <c r="BS276" s="110"/>
      <c r="BT276" s="110"/>
      <c r="BU276" s="110"/>
      <c r="BV276" s="110"/>
      <c r="BW276" s="110"/>
      <c r="BX276" s="113"/>
      <c r="BY276" s="110"/>
      <c r="BZ276" s="110"/>
      <c r="CA276" s="110"/>
      <c r="CB276" s="110"/>
      <c r="CC276" s="110"/>
      <c r="CD276" s="110"/>
      <c r="CE276" s="110"/>
      <c r="CF276" s="110"/>
      <c r="CG276" s="113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66"/>
      <c r="DA276" s="70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56"/>
      <c r="DR276" s="57"/>
      <c r="DS276" s="58"/>
      <c r="DT276" s="58"/>
      <c r="DU276" s="58"/>
      <c r="DV276" s="58"/>
      <c r="DW276" s="58"/>
      <c r="DX276" s="58"/>
      <c r="DY276" s="58"/>
      <c r="DZ276" s="59"/>
      <c r="EA276" s="60"/>
      <c r="EB276" s="61"/>
      <c r="EC276" s="62"/>
      <c r="ED276" s="2"/>
      <c r="EE276" s="63"/>
      <c r="EF276" s="63"/>
      <c r="EG276" s="63"/>
      <c r="EH276" s="63"/>
      <c r="EI276" s="63"/>
      <c r="EJ276" s="63"/>
      <c r="EK276" s="63"/>
      <c r="EL276" s="63"/>
      <c r="EM276" s="63"/>
      <c r="EN276" s="63"/>
      <c r="EO276" s="63"/>
      <c r="EP276" s="63"/>
      <c r="EQ276" s="63"/>
      <c r="ER276" s="63"/>
      <c r="ES276" s="63"/>
      <c r="ET276" s="63"/>
      <c r="EU276" s="80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5"/>
      <c r="FH276" s="84"/>
      <c r="FI276" s="64"/>
      <c r="FJ276" s="8"/>
      <c r="FK276" s="48"/>
      <c r="FL276" s="48"/>
      <c r="FM276" s="48"/>
      <c r="FN276" s="48"/>
      <c r="FO276" s="48"/>
      <c r="FP276" s="48"/>
      <c r="FQ276" s="48"/>
      <c r="FR276" s="48"/>
      <c r="FS276" s="48"/>
      <c r="FT276" s="48"/>
      <c r="FU276" s="48"/>
      <c r="FV276" s="48"/>
      <c r="FW276" s="48"/>
      <c r="FX276" s="48"/>
      <c r="FY276" s="48"/>
      <c r="FZ276" s="48"/>
      <c r="GA276" s="48"/>
      <c r="GB276" s="48"/>
      <c r="GC276" s="48"/>
      <c r="GD276" s="48"/>
      <c r="GE276" s="48"/>
      <c r="GF276" s="48"/>
      <c r="GG276" s="48"/>
      <c r="GH276" s="48"/>
      <c r="GI276" s="48"/>
      <c r="GJ276" s="8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77"/>
      <c r="GY276" s="77"/>
      <c r="GZ276" s="77"/>
    </row>
    <row r="277" spans="1:208">
      <c r="A277" s="48"/>
      <c r="B277" s="49"/>
      <c r="C277" s="50"/>
      <c r="D277" s="51"/>
      <c r="E277" s="50"/>
      <c r="F277" s="52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90"/>
      <c r="V277" s="91"/>
      <c r="W277" s="92"/>
      <c r="X277" s="92"/>
      <c r="Y277" s="92"/>
      <c r="Z277" s="91"/>
      <c r="AA277" s="93"/>
      <c r="AB277" s="99"/>
      <c r="AC277" s="54"/>
      <c r="AD277" s="54"/>
      <c r="AE277" s="54"/>
      <c r="AF277" s="54"/>
      <c r="AG277" s="54"/>
      <c r="AH277" s="54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113"/>
      <c r="BB277" s="110"/>
      <c r="BC277" s="110"/>
      <c r="BD277" s="110"/>
      <c r="BE277" s="110"/>
      <c r="BF277" s="110"/>
      <c r="BG277" s="110"/>
      <c r="BH277" s="110"/>
      <c r="BI277" s="113"/>
      <c r="BJ277" s="110"/>
      <c r="BK277" s="110"/>
      <c r="BL277" s="110"/>
      <c r="BM277" s="110"/>
      <c r="BN277" s="113"/>
      <c r="BO277" s="110"/>
      <c r="BP277" s="110"/>
      <c r="BQ277" s="110"/>
      <c r="BR277" s="110"/>
      <c r="BS277" s="110"/>
      <c r="BT277" s="110"/>
      <c r="BU277" s="110"/>
      <c r="BV277" s="110"/>
      <c r="BW277" s="110"/>
      <c r="BX277" s="113"/>
      <c r="BY277" s="110"/>
      <c r="BZ277" s="110"/>
      <c r="CA277" s="110"/>
      <c r="CB277" s="110"/>
      <c r="CC277" s="110"/>
      <c r="CD277" s="110"/>
      <c r="CE277" s="110"/>
      <c r="CF277" s="110"/>
      <c r="CG277" s="113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66"/>
      <c r="DA277" s="70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56"/>
      <c r="DR277" s="57"/>
      <c r="DS277" s="58"/>
      <c r="DT277" s="58"/>
      <c r="DU277" s="58"/>
      <c r="DV277" s="58"/>
      <c r="DW277" s="58"/>
      <c r="DX277" s="58"/>
      <c r="DY277" s="58"/>
      <c r="DZ277" s="59"/>
      <c r="EA277" s="60"/>
      <c r="EB277" s="61"/>
      <c r="EC277" s="62"/>
      <c r="ED277" s="2"/>
      <c r="EE277" s="63"/>
      <c r="EF277" s="63"/>
      <c r="EG277" s="63"/>
      <c r="EH277" s="63"/>
      <c r="EI277" s="63"/>
      <c r="EJ277" s="63"/>
      <c r="EK277" s="63"/>
      <c r="EL277" s="63"/>
      <c r="EM277" s="63"/>
      <c r="EN277" s="63"/>
      <c r="EO277" s="63"/>
      <c r="EP277" s="63"/>
      <c r="EQ277" s="63"/>
      <c r="ER277" s="63"/>
      <c r="ES277" s="63"/>
      <c r="ET277" s="63"/>
      <c r="EU277" s="80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5"/>
      <c r="FH277" s="84"/>
      <c r="FI277" s="64"/>
      <c r="FJ277" s="8"/>
      <c r="FK277" s="48"/>
      <c r="FL277" s="48"/>
      <c r="FM277" s="48"/>
      <c r="FN277" s="48"/>
      <c r="FO277" s="48"/>
      <c r="FP277" s="48"/>
      <c r="FQ277" s="48"/>
      <c r="FR277" s="48"/>
      <c r="FS277" s="48"/>
      <c r="FT277" s="48"/>
      <c r="FU277" s="48"/>
      <c r="FV277" s="48"/>
      <c r="FW277" s="48"/>
      <c r="FX277" s="48"/>
      <c r="FY277" s="48"/>
      <c r="FZ277" s="48"/>
      <c r="GA277" s="48"/>
      <c r="GB277" s="48"/>
      <c r="GC277" s="48"/>
      <c r="GD277" s="48"/>
      <c r="GE277" s="48"/>
      <c r="GF277" s="48"/>
      <c r="GG277" s="48"/>
      <c r="GH277" s="48"/>
      <c r="GI277" s="48"/>
      <c r="GJ277" s="8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77"/>
      <c r="GY277" s="77"/>
      <c r="GZ277" s="77"/>
    </row>
    <row r="278" spans="1:208">
      <c r="A278" s="48"/>
      <c r="B278" s="49"/>
      <c r="C278" s="50"/>
      <c r="D278" s="51"/>
      <c r="E278" s="50"/>
      <c r="F278" s="52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90"/>
      <c r="V278" s="91"/>
      <c r="W278" s="92"/>
      <c r="X278" s="92"/>
      <c r="Y278" s="92"/>
      <c r="Z278" s="91"/>
      <c r="AA278" s="93"/>
      <c r="AB278" s="99"/>
      <c r="AC278" s="54"/>
      <c r="AD278" s="54"/>
      <c r="AE278" s="54"/>
      <c r="AF278" s="54"/>
      <c r="AG278" s="54"/>
      <c r="AH278" s="54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113"/>
      <c r="BB278" s="110"/>
      <c r="BC278" s="110"/>
      <c r="BD278" s="110"/>
      <c r="BE278" s="110"/>
      <c r="BF278" s="110"/>
      <c r="BG278" s="110"/>
      <c r="BH278" s="110"/>
      <c r="BI278" s="113"/>
      <c r="BJ278" s="110"/>
      <c r="BK278" s="110"/>
      <c r="BL278" s="110"/>
      <c r="BM278" s="110"/>
      <c r="BN278" s="113"/>
      <c r="BO278" s="110"/>
      <c r="BP278" s="110"/>
      <c r="BQ278" s="110"/>
      <c r="BR278" s="110"/>
      <c r="BS278" s="110"/>
      <c r="BT278" s="110"/>
      <c r="BU278" s="110"/>
      <c r="BV278" s="110"/>
      <c r="BW278" s="110"/>
      <c r="BX278" s="113"/>
      <c r="BY278" s="110"/>
      <c r="BZ278" s="110"/>
      <c r="CA278" s="110"/>
      <c r="CB278" s="110"/>
      <c r="CC278" s="110"/>
      <c r="CD278" s="110"/>
      <c r="CE278" s="110"/>
      <c r="CF278" s="110"/>
      <c r="CG278" s="113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66"/>
      <c r="DA278" s="70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56"/>
      <c r="DR278" s="57"/>
      <c r="DS278" s="58"/>
      <c r="DT278" s="58"/>
      <c r="DU278" s="58"/>
      <c r="DV278" s="58"/>
      <c r="DW278" s="58"/>
      <c r="DX278" s="58"/>
      <c r="DY278" s="58"/>
      <c r="DZ278" s="59"/>
      <c r="EA278" s="60"/>
      <c r="EB278" s="61"/>
      <c r="EC278" s="62"/>
      <c r="ED278" s="2"/>
      <c r="EE278" s="63"/>
      <c r="EF278" s="63"/>
      <c r="EG278" s="63"/>
      <c r="EH278" s="63"/>
      <c r="EI278" s="63"/>
      <c r="EJ278" s="63"/>
      <c r="EK278" s="63"/>
      <c r="EL278" s="63"/>
      <c r="EM278" s="63"/>
      <c r="EN278" s="63"/>
      <c r="EO278" s="63"/>
      <c r="EP278" s="63"/>
      <c r="EQ278" s="63"/>
      <c r="ER278" s="63"/>
      <c r="ES278" s="63"/>
      <c r="ET278" s="63"/>
      <c r="EU278" s="80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5"/>
      <c r="FH278" s="84"/>
      <c r="FI278" s="64"/>
      <c r="FJ278" s="8"/>
      <c r="FK278" s="48"/>
      <c r="FL278" s="48"/>
      <c r="FM278" s="48"/>
      <c r="FN278" s="48"/>
      <c r="FO278" s="48"/>
      <c r="FP278" s="48"/>
      <c r="FQ278" s="48"/>
      <c r="FR278" s="48"/>
      <c r="FS278" s="48"/>
      <c r="FT278" s="48"/>
      <c r="FU278" s="48"/>
      <c r="FV278" s="48"/>
      <c r="FW278" s="48"/>
      <c r="FX278" s="48"/>
      <c r="FY278" s="48"/>
      <c r="FZ278" s="48"/>
      <c r="GA278" s="48"/>
      <c r="GB278" s="48"/>
      <c r="GC278" s="48"/>
      <c r="GD278" s="48"/>
      <c r="GE278" s="48"/>
      <c r="GF278" s="48"/>
      <c r="GG278" s="48"/>
      <c r="GH278" s="48"/>
      <c r="GI278" s="48"/>
      <c r="GJ278" s="8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77"/>
      <c r="GY278" s="77"/>
      <c r="GZ278" s="77"/>
    </row>
    <row r="279" spans="1:208">
      <c r="A279" s="48"/>
      <c r="B279" s="49"/>
      <c r="C279" s="50"/>
      <c r="D279" s="51"/>
      <c r="E279" s="50"/>
      <c r="F279" s="52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90"/>
      <c r="V279" s="91"/>
      <c r="W279" s="92"/>
      <c r="X279" s="92"/>
      <c r="Y279" s="92"/>
      <c r="Z279" s="91"/>
      <c r="AA279" s="93"/>
      <c r="AB279" s="99"/>
      <c r="AC279" s="54"/>
      <c r="AD279" s="54"/>
      <c r="AE279" s="54"/>
      <c r="AF279" s="54"/>
      <c r="AG279" s="54"/>
      <c r="AH279" s="54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113"/>
      <c r="BB279" s="110"/>
      <c r="BC279" s="110"/>
      <c r="BD279" s="110"/>
      <c r="BE279" s="110"/>
      <c r="BF279" s="110"/>
      <c r="BG279" s="110"/>
      <c r="BH279" s="110"/>
      <c r="BI279" s="113"/>
      <c r="BJ279" s="110"/>
      <c r="BK279" s="110"/>
      <c r="BL279" s="110"/>
      <c r="BM279" s="110"/>
      <c r="BN279" s="113"/>
      <c r="BO279" s="110"/>
      <c r="BP279" s="110"/>
      <c r="BQ279" s="110"/>
      <c r="BR279" s="110"/>
      <c r="BS279" s="110"/>
      <c r="BT279" s="110"/>
      <c r="BU279" s="110"/>
      <c r="BV279" s="110"/>
      <c r="BW279" s="110"/>
      <c r="BX279" s="113"/>
      <c r="BY279" s="110"/>
      <c r="BZ279" s="110"/>
      <c r="CA279" s="110"/>
      <c r="CB279" s="110"/>
      <c r="CC279" s="110"/>
      <c r="CD279" s="110"/>
      <c r="CE279" s="110"/>
      <c r="CF279" s="110"/>
      <c r="CG279" s="113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66"/>
      <c r="DA279" s="70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56"/>
      <c r="DR279" s="57"/>
      <c r="DS279" s="58"/>
      <c r="DT279" s="58"/>
      <c r="DU279" s="58"/>
      <c r="DV279" s="58"/>
      <c r="DW279" s="58"/>
      <c r="DX279" s="58"/>
      <c r="DY279" s="58"/>
      <c r="DZ279" s="59"/>
      <c r="EA279" s="60"/>
      <c r="EB279" s="61"/>
      <c r="EC279" s="62"/>
      <c r="ED279" s="2"/>
      <c r="EE279" s="63"/>
      <c r="EF279" s="63"/>
      <c r="EG279" s="63"/>
      <c r="EH279" s="63"/>
      <c r="EI279" s="63"/>
      <c r="EJ279" s="63"/>
      <c r="EK279" s="63"/>
      <c r="EL279" s="63"/>
      <c r="EM279" s="63"/>
      <c r="EN279" s="63"/>
      <c r="EO279" s="63"/>
      <c r="EP279" s="63"/>
      <c r="EQ279" s="63"/>
      <c r="ER279" s="63"/>
      <c r="ES279" s="63"/>
      <c r="ET279" s="63"/>
      <c r="EU279" s="80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5"/>
      <c r="FH279" s="84"/>
      <c r="FI279" s="64"/>
      <c r="FJ279" s="8"/>
      <c r="FK279" s="48"/>
      <c r="FL279" s="48"/>
      <c r="FM279" s="48"/>
      <c r="FN279" s="48"/>
      <c r="FO279" s="48"/>
      <c r="FP279" s="48"/>
      <c r="FQ279" s="48"/>
      <c r="FR279" s="48"/>
      <c r="FS279" s="48"/>
      <c r="FT279" s="48"/>
      <c r="FU279" s="48"/>
      <c r="FV279" s="48"/>
      <c r="FW279" s="48"/>
      <c r="FX279" s="48"/>
      <c r="FY279" s="48"/>
      <c r="FZ279" s="48"/>
      <c r="GA279" s="48"/>
      <c r="GB279" s="48"/>
      <c r="GC279" s="48"/>
      <c r="GD279" s="48"/>
      <c r="GE279" s="48"/>
      <c r="GF279" s="48"/>
      <c r="GG279" s="48"/>
      <c r="GH279" s="48"/>
      <c r="GI279" s="48"/>
      <c r="GJ279" s="8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77"/>
      <c r="GY279" s="77"/>
      <c r="GZ279" s="77"/>
    </row>
    <row r="280" spans="1:208">
      <c r="A280" s="48"/>
      <c r="B280" s="49"/>
      <c r="C280" s="50"/>
      <c r="D280" s="51"/>
      <c r="E280" s="50"/>
      <c r="F280" s="52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90"/>
      <c r="V280" s="91"/>
      <c r="W280" s="92"/>
      <c r="X280" s="92"/>
      <c r="Y280" s="92"/>
      <c r="Z280" s="91"/>
      <c r="AA280" s="93"/>
      <c r="AB280" s="99"/>
      <c r="AC280" s="54"/>
      <c r="AD280" s="54"/>
      <c r="AE280" s="54"/>
      <c r="AF280" s="54"/>
      <c r="AG280" s="54"/>
      <c r="AH280" s="54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113"/>
      <c r="BB280" s="110"/>
      <c r="BC280" s="110"/>
      <c r="BD280" s="110"/>
      <c r="BE280" s="110"/>
      <c r="BF280" s="110"/>
      <c r="BG280" s="110"/>
      <c r="BH280" s="110"/>
      <c r="BI280" s="113"/>
      <c r="BJ280" s="110"/>
      <c r="BK280" s="110"/>
      <c r="BL280" s="110"/>
      <c r="BM280" s="110"/>
      <c r="BN280" s="113"/>
      <c r="BO280" s="110"/>
      <c r="BP280" s="110"/>
      <c r="BQ280" s="110"/>
      <c r="BR280" s="110"/>
      <c r="BS280" s="110"/>
      <c r="BT280" s="110"/>
      <c r="BU280" s="110"/>
      <c r="BV280" s="110"/>
      <c r="BW280" s="110"/>
      <c r="BX280" s="113"/>
      <c r="BY280" s="110"/>
      <c r="BZ280" s="110"/>
      <c r="CA280" s="110"/>
      <c r="CB280" s="110"/>
      <c r="CC280" s="110"/>
      <c r="CD280" s="110"/>
      <c r="CE280" s="110"/>
      <c r="CF280" s="110"/>
      <c r="CG280" s="113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66"/>
      <c r="DA280" s="70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56"/>
      <c r="DR280" s="57"/>
      <c r="DS280" s="58"/>
      <c r="DT280" s="58"/>
      <c r="DU280" s="58"/>
      <c r="DV280" s="58"/>
      <c r="DW280" s="58"/>
      <c r="DX280" s="58"/>
      <c r="DY280" s="58"/>
      <c r="DZ280" s="59"/>
      <c r="EA280" s="60"/>
      <c r="EB280" s="61"/>
      <c r="EC280" s="62"/>
      <c r="ED280" s="2"/>
      <c r="EE280" s="63"/>
      <c r="EF280" s="63"/>
      <c r="EG280" s="63"/>
      <c r="EH280" s="63"/>
      <c r="EI280" s="63"/>
      <c r="EJ280" s="63"/>
      <c r="EK280" s="63"/>
      <c r="EL280" s="63"/>
      <c r="EM280" s="63"/>
      <c r="EN280" s="63"/>
      <c r="EO280" s="63"/>
      <c r="EP280" s="63"/>
      <c r="EQ280" s="63"/>
      <c r="ER280" s="63"/>
      <c r="ES280" s="63"/>
      <c r="ET280" s="63"/>
      <c r="EU280" s="80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5"/>
      <c r="FH280" s="84"/>
      <c r="FI280" s="64"/>
      <c r="FJ280" s="8"/>
      <c r="FK280" s="48"/>
      <c r="FL280" s="48"/>
      <c r="FM280" s="48"/>
      <c r="FN280" s="48"/>
      <c r="FO280" s="48"/>
      <c r="FP280" s="48"/>
      <c r="FQ280" s="48"/>
      <c r="FR280" s="48"/>
      <c r="FS280" s="48"/>
      <c r="FT280" s="48"/>
      <c r="FU280" s="48"/>
      <c r="FV280" s="48"/>
      <c r="FW280" s="48"/>
      <c r="FX280" s="48"/>
      <c r="FY280" s="48"/>
      <c r="FZ280" s="48"/>
      <c r="GA280" s="48"/>
      <c r="GB280" s="48"/>
      <c r="GC280" s="48"/>
      <c r="GD280" s="48"/>
      <c r="GE280" s="48"/>
      <c r="GF280" s="48"/>
      <c r="GG280" s="48"/>
      <c r="GH280" s="48"/>
      <c r="GI280" s="48"/>
      <c r="GJ280" s="8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77"/>
      <c r="GY280" s="77"/>
      <c r="GZ280" s="77"/>
    </row>
    <row r="281" spans="1:208">
      <c r="A281" s="48"/>
      <c r="B281" s="49"/>
      <c r="C281" s="50"/>
      <c r="D281" s="51"/>
      <c r="E281" s="50"/>
      <c r="F281" s="52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90"/>
      <c r="V281" s="91"/>
      <c r="W281" s="92"/>
      <c r="X281" s="92"/>
      <c r="Y281" s="92"/>
      <c r="Z281" s="91"/>
      <c r="AA281" s="93"/>
      <c r="AB281" s="99"/>
      <c r="AC281" s="54"/>
      <c r="AD281" s="54"/>
      <c r="AE281" s="54"/>
      <c r="AF281" s="54"/>
      <c r="AG281" s="54"/>
      <c r="AH281" s="54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113"/>
      <c r="BB281" s="110"/>
      <c r="BC281" s="110"/>
      <c r="BD281" s="110"/>
      <c r="BE281" s="110"/>
      <c r="BF281" s="110"/>
      <c r="BG281" s="110"/>
      <c r="BH281" s="110"/>
      <c r="BI281" s="113"/>
      <c r="BJ281" s="110"/>
      <c r="BK281" s="110"/>
      <c r="BL281" s="110"/>
      <c r="BM281" s="110"/>
      <c r="BN281" s="113"/>
      <c r="BO281" s="110"/>
      <c r="BP281" s="110"/>
      <c r="BQ281" s="110"/>
      <c r="BR281" s="110"/>
      <c r="BS281" s="110"/>
      <c r="BT281" s="110"/>
      <c r="BU281" s="110"/>
      <c r="BV281" s="110"/>
      <c r="BW281" s="110"/>
      <c r="BX281" s="113"/>
      <c r="BY281" s="110"/>
      <c r="BZ281" s="110"/>
      <c r="CA281" s="110"/>
      <c r="CB281" s="110"/>
      <c r="CC281" s="110"/>
      <c r="CD281" s="110"/>
      <c r="CE281" s="110"/>
      <c r="CF281" s="110"/>
      <c r="CG281" s="113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66"/>
      <c r="DA281" s="70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56"/>
      <c r="DR281" s="57"/>
      <c r="DS281" s="58"/>
      <c r="DT281" s="58"/>
      <c r="DU281" s="58"/>
      <c r="DV281" s="58"/>
      <c r="DW281" s="58"/>
      <c r="DX281" s="58"/>
      <c r="DY281" s="58"/>
      <c r="DZ281" s="59"/>
      <c r="EA281" s="60"/>
      <c r="EB281" s="61"/>
      <c r="EC281" s="62"/>
      <c r="ED281" s="2"/>
      <c r="EE281" s="63"/>
      <c r="EF281" s="63"/>
      <c r="EG281" s="63"/>
      <c r="EH281" s="63"/>
      <c r="EI281" s="63"/>
      <c r="EJ281" s="63"/>
      <c r="EK281" s="63"/>
      <c r="EL281" s="63"/>
      <c r="EM281" s="63"/>
      <c r="EN281" s="63"/>
      <c r="EO281" s="63"/>
      <c r="EP281" s="63"/>
      <c r="EQ281" s="63"/>
      <c r="ER281" s="63"/>
      <c r="ES281" s="63"/>
      <c r="ET281" s="63"/>
      <c r="EU281" s="80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5"/>
      <c r="FH281" s="84"/>
      <c r="FI281" s="64"/>
      <c r="FJ281" s="8"/>
      <c r="FK281" s="48"/>
      <c r="FL281" s="48"/>
      <c r="FM281" s="48"/>
      <c r="FN281" s="48"/>
      <c r="FO281" s="48"/>
      <c r="FP281" s="48"/>
      <c r="FQ281" s="48"/>
      <c r="FR281" s="48"/>
      <c r="FS281" s="48"/>
      <c r="FT281" s="48"/>
      <c r="FU281" s="48"/>
      <c r="FV281" s="48"/>
      <c r="FW281" s="48"/>
      <c r="FX281" s="48"/>
      <c r="FY281" s="48"/>
      <c r="FZ281" s="48"/>
      <c r="GA281" s="48"/>
      <c r="GB281" s="48"/>
      <c r="GC281" s="48"/>
      <c r="GD281" s="48"/>
      <c r="GE281" s="48"/>
      <c r="GF281" s="48"/>
      <c r="GG281" s="48"/>
      <c r="GH281" s="48"/>
      <c r="GI281" s="48"/>
      <c r="GJ281" s="8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77"/>
      <c r="GY281" s="77"/>
      <c r="GZ281" s="77"/>
    </row>
    <row r="282" spans="1:208">
      <c r="A282" s="48"/>
      <c r="B282" s="49"/>
      <c r="C282" s="50"/>
      <c r="D282" s="51"/>
      <c r="E282" s="50"/>
      <c r="F282" s="52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90"/>
      <c r="V282" s="91"/>
      <c r="W282" s="92"/>
      <c r="X282" s="92"/>
      <c r="Y282" s="92"/>
      <c r="Z282" s="91"/>
      <c r="AA282" s="93"/>
      <c r="AB282" s="99"/>
      <c r="AC282" s="54"/>
      <c r="AD282" s="54"/>
      <c r="AE282" s="54"/>
      <c r="AF282" s="54"/>
      <c r="AG282" s="54"/>
      <c r="AH282" s="54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113"/>
      <c r="BB282" s="110"/>
      <c r="BC282" s="110"/>
      <c r="BD282" s="110"/>
      <c r="BE282" s="110"/>
      <c r="BF282" s="110"/>
      <c r="BG282" s="110"/>
      <c r="BH282" s="110"/>
      <c r="BI282" s="113"/>
      <c r="BJ282" s="110"/>
      <c r="BK282" s="110"/>
      <c r="BL282" s="110"/>
      <c r="BM282" s="110"/>
      <c r="BN282" s="113"/>
      <c r="BO282" s="110"/>
      <c r="BP282" s="110"/>
      <c r="BQ282" s="110"/>
      <c r="BR282" s="110"/>
      <c r="BS282" s="110"/>
      <c r="BT282" s="110"/>
      <c r="BU282" s="110"/>
      <c r="BV282" s="110"/>
      <c r="BW282" s="110"/>
      <c r="BX282" s="113"/>
      <c r="BY282" s="110"/>
      <c r="BZ282" s="110"/>
      <c r="CA282" s="110"/>
      <c r="CB282" s="110"/>
      <c r="CC282" s="110"/>
      <c r="CD282" s="110"/>
      <c r="CE282" s="110"/>
      <c r="CF282" s="110"/>
      <c r="CG282" s="113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66"/>
      <c r="DA282" s="70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56"/>
      <c r="DR282" s="57"/>
      <c r="DS282" s="58"/>
      <c r="DT282" s="58"/>
      <c r="DU282" s="58"/>
      <c r="DV282" s="58"/>
      <c r="DW282" s="58"/>
      <c r="DX282" s="58"/>
      <c r="DY282" s="58"/>
      <c r="DZ282" s="59"/>
      <c r="EA282" s="60"/>
      <c r="EB282" s="61"/>
      <c r="EC282" s="62"/>
      <c r="ED282" s="2"/>
      <c r="EE282" s="63"/>
      <c r="EF282" s="63"/>
      <c r="EG282" s="63"/>
      <c r="EH282" s="63"/>
      <c r="EI282" s="63"/>
      <c r="EJ282" s="63"/>
      <c r="EK282" s="63"/>
      <c r="EL282" s="63"/>
      <c r="EM282" s="63"/>
      <c r="EN282" s="63"/>
      <c r="EO282" s="63"/>
      <c r="EP282" s="63"/>
      <c r="EQ282" s="63"/>
      <c r="ER282" s="63"/>
      <c r="ES282" s="63"/>
      <c r="ET282" s="63"/>
      <c r="EU282" s="80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5"/>
      <c r="FH282" s="84"/>
      <c r="FI282" s="64"/>
      <c r="FJ282" s="8"/>
      <c r="FK282" s="48"/>
      <c r="FL282" s="48"/>
      <c r="FM282" s="48"/>
      <c r="FN282" s="48"/>
      <c r="FO282" s="48"/>
      <c r="FP282" s="48"/>
      <c r="FQ282" s="48"/>
      <c r="FR282" s="48"/>
      <c r="FS282" s="48"/>
      <c r="FT282" s="48"/>
      <c r="FU282" s="48"/>
      <c r="FV282" s="48"/>
      <c r="FW282" s="48"/>
      <c r="FX282" s="48"/>
      <c r="FY282" s="48"/>
      <c r="FZ282" s="48"/>
      <c r="GA282" s="48"/>
      <c r="GB282" s="48"/>
      <c r="GC282" s="48"/>
      <c r="GD282" s="48"/>
      <c r="GE282" s="48"/>
      <c r="GF282" s="48"/>
      <c r="GG282" s="48"/>
      <c r="GH282" s="48"/>
      <c r="GI282" s="48"/>
      <c r="GJ282" s="8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77"/>
      <c r="GY282" s="77"/>
      <c r="GZ282" s="77"/>
    </row>
    <row r="283" spans="1:208">
      <c r="A283" s="48"/>
      <c r="B283" s="49"/>
      <c r="C283" s="50"/>
      <c r="D283" s="51"/>
      <c r="E283" s="50"/>
      <c r="F283" s="52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90"/>
      <c r="V283" s="91"/>
      <c r="W283" s="92"/>
      <c r="X283" s="92"/>
      <c r="Y283" s="92"/>
      <c r="Z283" s="91"/>
      <c r="AA283" s="93"/>
      <c r="AB283" s="99"/>
      <c r="AC283" s="54"/>
      <c r="AD283" s="54"/>
      <c r="AE283" s="54"/>
      <c r="AF283" s="54"/>
      <c r="AG283" s="54"/>
      <c r="AH283" s="54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113"/>
      <c r="BB283" s="110"/>
      <c r="BC283" s="110"/>
      <c r="BD283" s="110"/>
      <c r="BE283" s="110"/>
      <c r="BF283" s="110"/>
      <c r="BG283" s="110"/>
      <c r="BH283" s="110"/>
      <c r="BI283" s="113"/>
      <c r="BJ283" s="110"/>
      <c r="BK283" s="110"/>
      <c r="BL283" s="110"/>
      <c r="BM283" s="110"/>
      <c r="BN283" s="113"/>
      <c r="BO283" s="110"/>
      <c r="BP283" s="110"/>
      <c r="BQ283" s="110"/>
      <c r="BR283" s="110"/>
      <c r="BS283" s="110"/>
      <c r="BT283" s="110"/>
      <c r="BU283" s="110"/>
      <c r="BV283" s="110"/>
      <c r="BW283" s="110"/>
      <c r="BX283" s="113"/>
      <c r="BY283" s="110"/>
      <c r="BZ283" s="110"/>
      <c r="CA283" s="110"/>
      <c r="CB283" s="110"/>
      <c r="CC283" s="110"/>
      <c r="CD283" s="110"/>
      <c r="CE283" s="110"/>
      <c r="CF283" s="110"/>
      <c r="CG283" s="113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66"/>
      <c r="DA283" s="70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56"/>
      <c r="DR283" s="57"/>
      <c r="DS283" s="58"/>
      <c r="DT283" s="58"/>
      <c r="DU283" s="58"/>
      <c r="DV283" s="58"/>
      <c r="DW283" s="58"/>
      <c r="DX283" s="58"/>
      <c r="DY283" s="58"/>
      <c r="DZ283" s="59"/>
      <c r="EA283" s="60"/>
      <c r="EB283" s="61"/>
      <c r="EC283" s="62"/>
      <c r="ED283" s="2"/>
      <c r="EE283" s="63"/>
      <c r="EF283" s="63"/>
      <c r="EG283" s="63"/>
      <c r="EH283" s="63"/>
      <c r="EI283" s="63"/>
      <c r="EJ283" s="63"/>
      <c r="EK283" s="63"/>
      <c r="EL283" s="63"/>
      <c r="EM283" s="63"/>
      <c r="EN283" s="63"/>
      <c r="EO283" s="63"/>
      <c r="EP283" s="63"/>
      <c r="EQ283" s="63"/>
      <c r="ER283" s="63"/>
      <c r="ES283" s="63"/>
      <c r="ET283" s="63"/>
      <c r="EU283" s="80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5"/>
      <c r="FH283" s="84"/>
      <c r="FI283" s="64"/>
      <c r="FJ283" s="8"/>
      <c r="FK283" s="48"/>
      <c r="FL283" s="48"/>
      <c r="FM283" s="48"/>
      <c r="FN283" s="48"/>
      <c r="FO283" s="48"/>
      <c r="FP283" s="48"/>
      <c r="FQ283" s="48"/>
      <c r="FR283" s="48"/>
      <c r="FS283" s="48"/>
      <c r="FT283" s="48"/>
      <c r="FU283" s="48"/>
      <c r="FV283" s="48"/>
      <c r="FW283" s="48"/>
      <c r="FX283" s="48"/>
      <c r="FY283" s="48"/>
      <c r="FZ283" s="48"/>
      <c r="GA283" s="48"/>
      <c r="GB283" s="48"/>
      <c r="GC283" s="48"/>
      <c r="GD283" s="48"/>
      <c r="GE283" s="48"/>
      <c r="GF283" s="48"/>
      <c r="GG283" s="48"/>
      <c r="GH283" s="48"/>
      <c r="GI283" s="48"/>
      <c r="GJ283" s="8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77"/>
      <c r="GY283" s="77"/>
      <c r="GZ283" s="77"/>
    </row>
    <row r="284" spans="1:208">
      <c r="A284" s="48"/>
      <c r="B284" s="49"/>
      <c r="C284" s="50"/>
      <c r="D284" s="51"/>
      <c r="E284" s="50"/>
      <c r="F284" s="52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90"/>
      <c r="V284" s="91"/>
      <c r="W284" s="92"/>
      <c r="X284" s="92"/>
      <c r="Y284" s="92"/>
      <c r="Z284" s="91"/>
      <c r="AA284" s="93"/>
      <c r="AB284" s="99"/>
      <c r="AC284" s="54"/>
      <c r="AD284" s="54"/>
      <c r="AE284" s="54"/>
      <c r="AF284" s="54"/>
      <c r="AG284" s="54"/>
      <c r="AH284" s="54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113"/>
      <c r="BB284" s="110"/>
      <c r="BC284" s="110"/>
      <c r="BD284" s="110"/>
      <c r="BE284" s="110"/>
      <c r="BF284" s="110"/>
      <c r="BG284" s="110"/>
      <c r="BH284" s="110"/>
      <c r="BI284" s="113"/>
      <c r="BJ284" s="110"/>
      <c r="BK284" s="110"/>
      <c r="BL284" s="110"/>
      <c r="BM284" s="110"/>
      <c r="BN284" s="113"/>
      <c r="BO284" s="110"/>
      <c r="BP284" s="110"/>
      <c r="BQ284" s="110"/>
      <c r="BR284" s="110"/>
      <c r="BS284" s="110"/>
      <c r="BT284" s="110"/>
      <c r="BU284" s="110"/>
      <c r="BV284" s="110"/>
      <c r="BW284" s="110"/>
      <c r="BX284" s="113"/>
      <c r="BY284" s="110"/>
      <c r="BZ284" s="110"/>
      <c r="CA284" s="110"/>
      <c r="CB284" s="110"/>
      <c r="CC284" s="110"/>
      <c r="CD284" s="110"/>
      <c r="CE284" s="110"/>
      <c r="CF284" s="110"/>
      <c r="CG284" s="113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66"/>
      <c r="DA284" s="70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56"/>
      <c r="DR284" s="57"/>
      <c r="DS284" s="58"/>
      <c r="DT284" s="58"/>
      <c r="DU284" s="58"/>
      <c r="DV284" s="58"/>
      <c r="DW284" s="58"/>
      <c r="DX284" s="58"/>
      <c r="DY284" s="58"/>
      <c r="DZ284" s="59"/>
      <c r="EA284" s="60"/>
      <c r="EB284" s="61"/>
      <c r="EC284" s="62"/>
      <c r="ED284" s="2"/>
      <c r="EE284" s="63"/>
      <c r="EF284" s="63"/>
      <c r="EG284" s="63"/>
      <c r="EH284" s="63"/>
      <c r="EI284" s="63"/>
      <c r="EJ284" s="63"/>
      <c r="EK284" s="63"/>
      <c r="EL284" s="63"/>
      <c r="EM284" s="63"/>
      <c r="EN284" s="63"/>
      <c r="EO284" s="63"/>
      <c r="EP284" s="63"/>
      <c r="EQ284" s="63"/>
      <c r="ER284" s="63"/>
      <c r="ES284" s="63"/>
      <c r="ET284" s="63"/>
      <c r="EU284" s="80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5"/>
      <c r="FH284" s="84"/>
      <c r="FI284" s="64"/>
      <c r="FJ284" s="8"/>
      <c r="FK284" s="48"/>
      <c r="FL284" s="48"/>
      <c r="FM284" s="48"/>
      <c r="FN284" s="48"/>
      <c r="FO284" s="48"/>
      <c r="FP284" s="48"/>
      <c r="FQ284" s="48"/>
      <c r="FR284" s="48"/>
      <c r="FS284" s="48"/>
      <c r="FT284" s="48"/>
      <c r="FU284" s="48"/>
      <c r="FV284" s="48"/>
      <c r="FW284" s="48"/>
      <c r="FX284" s="48"/>
      <c r="FY284" s="48"/>
      <c r="FZ284" s="48"/>
      <c r="GA284" s="48"/>
      <c r="GB284" s="48"/>
      <c r="GC284" s="48"/>
      <c r="GD284" s="48"/>
      <c r="GE284" s="48"/>
      <c r="GF284" s="48"/>
      <c r="GG284" s="48"/>
      <c r="GH284" s="48"/>
      <c r="GI284" s="48"/>
      <c r="GJ284" s="8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77"/>
      <c r="GY284" s="77"/>
      <c r="GZ284" s="77"/>
    </row>
    <row r="285" spans="1:208">
      <c r="A285" s="48"/>
      <c r="B285" s="49"/>
      <c r="C285" s="50"/>
      <c r="D285" s="51"/>
      <c r="E285" s="50"/>
      <c r="F285" s="52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90"/>
      <c r="V285" s="91"/>
      <c r="W285" s="92"/>
      <c r="X285" s="92"/>
      <c r="Y285" s="92"/>
      <c r="Z285" s="91"/>
      <c r="AA285" s="93"/>
      <c r="AB285" s="99"/>
      <c r="AC285" s="54"/>
      <c r="AD285" s="54"/>
      <c r="AE285" s="54"/>
      <c r="AF285" s="54"/>
      <c r="AG285" s="54"/>
      <c r="AH285" s="54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113"/>
      <c r="BB285" s="110"/>
      <c r="BC285" s="110"/>
      <c r="BD285" s="110"/>
      <c r="BE285" s="110"/>
      <c r="BF285" s="110"/>
      <c r="BG285" s="110"/>
      <c r="BH285" s="110"/>
      <c r="BI285" s="113"/>
      <c r="BJ285" s="110"/>
      <c r="BK285" s="110"/>
      <c r="BL285" s="110"/>
      <c r="BM285" s="110"/>
      <c r="BN285" s="113"/>
      <c r="BO285" s="110"/>
      <c r="BP285" s="110"/>
      <c r="BQ285" s="110"/>
      <c r="BR285" s="110"/>
      <c r="BS285" s="110"/>
      <c r="BT285" s="110"/>
      <c r="BU285" s="110"/>
      <c r="BV285" s="110"/>
      <c r="BW285" s="110"/>
      <c r="BX285" s="113"/>
      <c r="BY285" s="110"/>
      <c r="BZ285" s="110"/>
      <c r="CA285" s="110"/>
      <c r="CB285" s="110"/>
      <c r="CC285" s="110"/>
      <c r="CD285" s="110"/>
      <c r="CE285" s="110"/>
      <c r="CF285" s="110"/>
      <c r="CG285" s="113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66"/>
      <c r="DA285" s="70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56"/>
      <c r="DR285" s="57"/>
      <c r="DS285" s="58"/>
      <c r="DT285" s="58"/>
      <c r="DU285" s="58"/>
      <c r="DV285" s="58"/>
      <c r="DW285" s="58"/>
      <c r="DX285" s="58"/>
      <c r="DY285" s="58"/>
      <c r="DZ285" s="59"/>
      <c r="EA285" s="60"/>
      <c r="EB285" s="61"/>
      <c r="EC285" s="62"/>
      <c r="ED285" s="2"/>
      <c r="EE285" s="63"/>
      <c r="EF285" s="63"/>
      <c r="EG285" s="63"/>
      <c r="EH285" s="63"/>
      <c r="EI285" s="63"/>
      <c r="EJ285" s="63"/>
      <c r="EK285" s="63"/>
      <c r="EL285" s="63"/>
      <c r="EM285" s="63"/>
      <c r="EN285" s="63"/>
      <c r="EO285" s="63"/>
      <c r="EP285" s="63"/>
      <c r="EQ285" s="63"/>
      <c r="ER285" s="63"/>
      <c r="ES285" s="63"/>
      <c r="ET285" s="63"/>
      <c r="EU285" s="80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5"/>
      <c r="FH285" s="84"/>
      <c r="FI285" s="64"/>
      <c r="FJ285" s="8"/>
      <c r="FK285" s="48"/>
      <c r="FL285" s="48"/>
      <c r="FM285" s="48"/>
      <c r="FN285" s="48"/>
      <c r="FO285" s="48"/>
      <c r="FP285" s="48"/>
      <c r="FQ285" s="48"/>
      <c r="FR285" s="48"/>
      <c r="FS285" s="48"/>
      <c r="FT285" s="48"/>
      <c r="FU285" s="48"/>
      <c r="FV285" s="48"/>
      <c r="FW285" s="48"/>
      <c r="FX285" s="48"/>
      <c r="FY285" s="48"/>
      <c r="FZ285" s="48"/>
      <c r="GA285" s="48"/>
      <c r="GB285" s="48"/>
      <c r="GC285" s="48"/>
      <c r="GD285" s="48"/>
      <c r="GE285" s="48"/>
      <c r="GF285" s="48"/>
      <c r="GG285" s="48"/>
      <c r="GH285" s="48"/>
      <c r="GI285" s="48"/>
      <c r="GJ285" s="8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77"/>
      <c r="GY285" s="77"/>
      <c r="GZ285" s="77"/>
    </row>
    <row r="286" spans="1:208">
      <c r="A286" s="48"/>
      <c r="B286" s="49"/>
      <c r="C286" s="50"/>
      <c r="D286" s="51"/>
      <c r="E286" s="50"/>
      <c r="F286" s="52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90"/>
      <c r="V286" s="91"/>
      <c r="W286" s="92"/>
      <c r="X286" s="92"/>
      <c r="Y286" s="92"/>
      <c r="Z286" s="91"/>
      <c r="AA286" s="93"/>
      <c r="AB286" s="99"/>
      <c r="AC286" s="54"/>
      <c r="AD286" s="54"/>
      <c r="AE286" s="54"/>
      <c r="AF286" s="54"/>
      <c r="AG286" s="54"/>
      <c r="AH286" s="54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113"/>
      <c r="BB286" s="110"/>
      <c r="BC286" s="110"/>
      <c r="BD286" s="110"/>
      <c r="BE286" s="110"/>
      <c r="BF286" s="110"/>
      <c r="BG286" s="110"/>
      <c r="BH286" s="110"/>
      <c r="BI286" s="113"/>
      <c r="BJ286" s="110"/>
      <c r="BK286" s="110"/>
      <c r="BL286" s="110"/>
      <c r="BM286" s="110"/>
      <c r="BN286" s="113"/>
      <c r="BO286" s="110"/>
      <c r="BP286" s="110"/>
      <c r="BQ286" s="110"/>
      <c r="BR286" s="110"/>
      <c r="BS286" s="110"/>
      <c r="BT286" s="110"/>
      <c r="BU286" s="110"/>
      <c r="BV286" s="110"/>
      <c r="BW286" s="110"/>
      <c r="BX286" s="113"/>
      <c r="BY286" s="110"/>
      <c r="BZ286" s="110"/>
      <c r="CA286" s="110"/>
      <c r="CB286" s="110"/>
      <c r="CC286" s="110"/>
      <c r="CD286" s="110"/>
      <c r="CE286" s="110"/>
      <c r="CF286" s="110"/>
      <c r="CG286" s="113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66"/>
      <c r="DA286" s="70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56"/>
      <c r="DR286" s="57"/>
      <c r="DS286" s="58"/>
      <c r="DT286" s="58"/>
      <c r="DU286" s="58"/>
      <c r="DV286" s="58"/>
      <c r="DW286" s="58"/>
      <c r="DX286" s="58"/>
      <c r="DY286" s="58"/>
      <c r="DZ286" s="59"/>
      <c r="EA286" s="60"/>
      <c r="EB286" s="61"/>
      <c r="EC286" s="62"/>
      <c r="ED286" s="2"/>
      <c r="EE286" s="63"/>
      <c r="EF286" s="63"/>
      <c r="EG286" s="63"/>
      <c r="EH286" s="63"/>
      <c r="EI286" s="63"/>
      <c r="EJ286" s="63"/>
      <c r="EK286" s="63"/>
      <c r="EL286" s="63"/>
      <c r="EM286" s="63"/>
      <c r="EN286" s="63"/>
      <c r="EO286" s="63"/>
      <c r="EP286" s="63"/>
      <c r="EQ286" s="63"/>
      <c r="ER286" s="63"/>
      <c r="ES286" s="63"/>
      <c r="ET286" s="63"/>
      <c r="EU286" s="80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5"/>
      <c r="FH286" s="84"/>
      <c r="FI286" s="64"/>
      <c r="FJ286" s="8"/>
      <c r="FK286" s="48"/>
      <c r="FL286" s="48"/>
      <c r="FM286" s="48"/>
      <c r="FN286" s="48"/>
      <c r="FO286" s="48"/>
      <c r="FP286" s="48"/>
      <c r="FQ286" s="48"/>
      <c r="FR286" s="48"/>
      <c r="FS286" s="48"/>
      <c r="FT286" s="48"/>
      <c r="FU286" s="48"/>
      <c r="FV286" s="48"/>
      <c r="FW286" s="48"/>
      <c r="FX286" s="48"/>
      <c r="FY286" s="48"/>
      <c r="FZ286" s="48"/>
      <c r="GA286" s="48"/>
      <c r="GB286" s="48"/>
      <c r="GC286" s="48"/>
      <c r="GD286" s="48"/>
      <c r="GE286" s="48"/>
      <c r="GF286" s="48"/>
      <c r="GG286" s="48"/>
      <c r="GH286" s="48"/>
      <c r="GI286" s="48"/>
      <c r="GJ286" s="8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77"/>
      <c r="GY286" s="77"/>
      <c r="GZ286" s="77"/>
    </row>
    <row r="287" spans="1:208">
      <c r="A287" s="48"/>
      <c r="B287" s="49"/>
      <c r="C287" s="50"/>
      <c r="D287" s="51"/>
      <c r="E287" s="50"/>
      <c r="F287" s="52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90"/>
      <c r="V287" s="91"/>
      <c r="W287" s="92"/>
      <c r="X287" s="92"/>
      <c r="Y287" s="92"/>
      <c r="Z287" s="91"/>
      <c r="AA287" s="93"/>
      <c r="AB287" s="99"/>
      <c r="AC287" s="54"/>
      <c r="AD287" s="54"/>
      <c r="AE287" s="54"/>
      <c r="AF287" s="54"/>
      <c r="AG287" s="54"/>
      <c r="AH287" s="54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113"/>
      <c r="BB287" s="110"/>
      <c r="BC287" s="110"/>
      <c r="BD287" s="110"/>
      <c r="BE287" s="110"/>
      <c r="BF287" s="110"/>
      <c r="BG287" s="110"/>
      <c r="BH287" s="110"/>
      <c r="BI287" s="113"/>
      <c r="BJ287" s="110"/>
      <c r="BK287" s="110"/>
      <c r="BL287" s="110"/>
      <c r="BM287" s="110"/>
      <c r="BN287" s="113"/>
      <c r="BO287" s="110"/>
      <c r="BP287" s="110"/>
      <c r="BQ287" s="110"/>
      <c r="BR287" s="110"/>
      <c r="BS287" s="110"/>
      <c r="BT287" s="110"/>
      <c r="BU287" s="110"/>
      <c r="BV287" s="110"/>
      <c r="BW287" s="110"/>
      <c r="BX287" s="113"/>
      <c r="BY287" s="110"/>
      <c r="BZ287" s="110"/>
      <c r="CA287" s="110"/>
      <c r="CB287" s="110"/>
      <c r="CC287" s="110"/>
      <c r="CD287" s="110"/>
      <c r="CE287" s="110"/>
      <c r="CF287" s="110"/>
      <c r="CG287" s="113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66"/>
      <c r="DA287" s="70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56"/>
      <c r="DR287" s="57"/>
      <c r="DS287" s="58"/>
      <c r="DT287" s="58"/>
      <c r="DU287" s="58"/>
      <c r="DV287" s="58"/>
      <c r="DW287" s="58"/>
      <c r="DX287" s="58"/>
      <c r="DY287" s="58"/>
      <c r="DZ287" s="59"/>
      <c r="EA287" s="60"/>
      <c r="EB287" s="61"/>
      <c r="EC287" s="62"/>
      <c r="ED287" s="2"/>
      <c r="EE287" s="63"/>
      <c r="EF287" s="63"/>
      <c r="EG287" s="63"/>
      <c r="EH287" s="63"/>
      <c r="EI287" s="63"/>
      <c r="EJ287" s="63"/>
      <c r="EK287" s="63"/>
      <c r="EL287" s="63"/>
      <c r="EM287" s="63"/>
      <c r="EN287" s="63"/>
      <c r="EO287" s="63"/>
      <c r="EP287" s="63"/>
      <c r="EQ287" s="63"/>
      <c r="ER287" s="63"/>
      <c r="ES287" s="63"/>
      <c r="ET287" s="63"/>
      <c r="EU287" s="80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5"/>
      <c r="FH287" s="84"/>
      <c r="FI287" s="64"/>
      <c r="FJ287" s="8"/>
      <c r="FK287" s="48"/>
      <c r="FL287" s="48"/>
      <c r="FM287" s="48"/>
      <c r="FN287" s="48"/>
      <c r="FO287" s="48"/>
      <c r="FP287" s="48"/>
      <c r="FQ287" s="48"/>
      <c r="FR287" s="48"/>
      <c r="FS287" s="48"/>
      <c r="FT287" s="48"/>
      <c r="FU287" s="48"/>
      <c r="FV287" s="48"/>
      <c r="FW287" s="48"/>
      <c r="FX287" s="48"/>
      <c r="FY287" s="48"/>
      <c r="FZ287" s="48"/>
      <c r="GA287" s="48"/>
      <c r="GB287" s="48"/>
      <c r="GC287" s="48"/>
      <c r="GD287" s="48"/>
      <c r="GE287" s="48"/>
      <c r="GF287" s="48"/>
      <c r="GG287" s="48"/>
      <c r="GH287" s="48"/>
      <c r="GI287" s="48"/>
      <c r="GJ287" s="8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77"/>
      <c r="GY287" s="77"/>
      <c r="GZ287" s="77"/>
    </row>
    <row r="288" spans="1:208">
      <c r="A288" s="48"/>
      <c r="B288" s="49"/>
      <c r="C288" s="50"/>
      <c r="D288" s="51"/>
      <c r="E288" s="50"/>
      <c r="F288" s="52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90"/>
      <c r="V288" s="91"/>
      <c r="W288" s="92"/>
      <c r="X288" s="92"/>
      <c r="Y288" s="92"/>
      <c r="Z288" s="91"/>
      <c r="AA288" s="93"/>
      <c r="AB288" s="99"/>
      <c r="AC288" s="54"/>
      <c r="AD288" s="54"/>
      <c r="AE288" s="54"/>
      <c r="AF288" s="54"/>
      <c r="AG288" s="54"/>
      <c r="AH288" s="54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113"/>
      <c r="BB288" s="110"/>
      <c r="BC288" s="110"/>
      <c r="BD288" s="110"/>
      <c r="BE288" s="110"/>
      <c r="BF288" s="110"/>
      <c r="BG288" s="110"/>
      <c r="BH288" s="110"/>
      <c r="BI288" s="113"/>
      <c r="BJ288" s="110"/>
      <c r="BK288" s="110"/>
      <c r="BL288" s="110"/>
      <c r="BM288" s="110"/>
      <c r="BN288" s="113"/>
      <c r="BO288" s="110"/>
      <c r="BP288" s="110"/>
      <c r="BQ288" s="110"/>
      <c r="BR288" s="110"/>
      <c r="BS288" s="110"/>
      <c r="BT288" s="110"/>
      <c r="BU288" s="110"/>
      <c r="BV288" s="110"/>
      <c r="BW288" s="110"/>
      <c r="BX288" s="113"/>
      <c r="BY288" s="110"/>
      <c r="BZ288" s="110"/>
      <c r="CA288" s="110"/>
      <c r="CB288" s="110"/>
      <c r="CC288" s="110"/>
      <c r="CD288" s="110"/>
      <c r="CE288" s="110"/>
      <c r="CF288" s="110"/>
      <c r="CG288" s="113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66"/>
      <c r="DA288" s="70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56"/>
      <c r="DR288" s="57"/>
      <c r="DS288" s="58"/>
      <c r="DT288" s="58"/>
      <c r="DU288" s="58"/>
      <c r="DV288" s="58"/>
      <c r="DW288" s="58"/>
      <c r="DX288" s="58"/>
      <c r="DY288" s="58"/>
      <c r="DZ288" s="59"/>
      <c r="EA288" s="60"/>
      <c r="EB288" s="61"/>
      <c r="EC288" s="62"/>
      <c r="ED288" s="2"/>
      <c r="EE288" s="63"/>
      <c r="EF288" s="63"/>
      <c r="EG288" s="63"/>
      <c r="EH288" s="63"/>
      <c r="EI288" s="63"/>
      <c r="EJ288" s="63"/>
      <c r="EK288" s="63"/>
      <c r="EL288" s="63"/>
      <c r="EM288" s="63"/>
      <c r="EN288" s="63"/>
      <c r="EO288" s="63"/>
      <c r="EP288" s="63"/>
      <c r="EQ288" s="63"/>
      <c r="ER288" s="63"/>
      <c r="ES288" s="63"/>
      <c r="ET288" s="63"/>
      <c r="EU288" s="80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5"/>
      <c r="FH288" s="84"/>
      <c r="FI288" s="64"/>
      <c r="FJ288" s="8"/>
      <c r="FK288" s="48"/>
      <c r="FL288" s="48"/>
      <c r="FM288" s="48"/>
      <c r="FN288" s="48"/>
      <c r="FO288" s="48"/>
      <c r="FP288" s="48"/>
      <c r="FQ288" s="48"/>
      <c r="FR288" s="48"/>
      <c r="FS288" s="48"/>
      <c r="FT288" s="48"/>
      <c r="FU288" s="48"/>
      <c r="FV288" s="48"/>
      <c r="FW288" s="48"/>
      <c r="FX288" s="48"/>
      <c r="FY288" s="48"/>
      <c r="FZ288" s="48"/>
      <c r="GA288" s="48"/>
      <c r="GB288" s="48"/>
      <c r="GC288" s="48"/>
      <c r="GD288" s="48"/>
      <c r="GE288" s="48"/>
      <c r="GF288" s="48"/>
      <c r="GG288" s="48"/>
      <c r="GH288" s="48"/>
      <c r="GI288" s="48"/>
      <c r="GJ288" s="8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77"/>
      <c r="GY288" s="77"/>
      <c r="GZ288" s="77"/>
    </row>
    <row r="289" spans="1:208">
      <c r="A289" s="48"/>
      <c r="B289" s="49"/>
      <c r="C289" s="50"/>
      <c r="D289" s="51"/>
      <c r="E289" s="50"/>
      <c r="F289" s="52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90"/>
      <c r="V289" s="91"/>
      <c r="W289" s="92"/>
      <c r="X289" s="92"/>
      <c r="Y289" s="92"/>
      <c r="Z289" s="91"/>
      <c r="AA289" s="93"/>
      <c r="AB289" s="99"/>
      <c r="AC289" s="54"/>
      <c r="AD289" s="54"/>
      <c r="AE289" s="54"/>
      <c r="AF289" s="54"/>
      <c r="AG289" s="54"/>
      <c r="AH289" s="54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113"/>
      <c r="BB289" s="110"/>
      <c r="BC289" s="110"/>
      <c r="BD289" s="110"/>
      <c r="BE289" s="110"/>
      <c r="BF289" s="110"/>
      <c r="BG289" s="110"/>
      <c r="BH289" s="110"/>
      <c r="BI289" s="113"/>
      <c r="BJ289" s="110"/>
      <c r="BK289" s="110"/>
      <c r="BL289" s="110"/>
      <c r="BM289" s="110"/>
      <c r="BN289" s="113"/>
      <c r="BO289" s="110"/>
      <c r="BP289" s="110"/>
      <c r="BQ289" s="110"/>
      <c r="BR289" s="110"/>
      <c r="BS289" s="110"/>
      <c r="BT289" s="110"/>
      <c r="BU289" s="110"/>
      <c r="BV289" s="110"/>
      <c r="BW289" s="110"/>
      <c r="BX289" s="113"/>
      <c r="BY289" s="110"/>
      <c r="BZ289" s="110"/>
      <c r="CA289" s="110"/>
      <c r="CB289" s="110"/>
      <c r="CC289" s="110"/>
      <c r="CD289" s="110"/>
      <c r="CE289" s="110"/>
      <c r="CF289" s="110"/>
      <c r="CG289" s="113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66"/>
      <c r="DA289" s="70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56"/>
      <c r="DR289" s="57"/>
      <c r="DS289" s="58"/>
      <c r="DT289" s="58"/>
      <c r="DU289" s="58"/>
      <c r="DV289" s="58"/>
      <c r="DW289" s="58"/>
      <c r="DX289" s="58"/>
      <c r="DY289" s="58"/>
      <c r="DZ289" s="59"/>
      <c r="EA289" s="60"/>
      <c r="EB289" s="61"/>
      <c r="EC289" s="62"/>
      <c r="ED289" s="2"/>
      <c r="EE289" s="63"/>
      <c r="EF289" s="63"/>
      <c r="EG289" s="63"/>
      <c r="EH289" s="63"/>
      <c r="EI289" s="63"/>
      <c r="EJ289" s="63"/>
      <c r="EK289" s="63"/>
      <c r="EL289" s="63"/>
      <c r="EM289" s="63"/>
      <c r="EN289" s="63"/>
      <c r="EO289" s="63"/>
      <c r="EP289" s="63"/>
      <c r="EQ289" s="63"/>
      <c r="ER289" s="63"/>
      <c r="ES289" s="63"/>
      <c r="ET289" s="63"/>
      <c r="EU289" s="80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5"/>
      <c r="FH289" s="84"/>
      <c r="FI289" s="64"/>
      <c r="FJ289" s="8"/>
      <c r="FK289" s="48"/>
      <c r="FL289" s="48"/>
      <c r="FM289" s="48"/>
      <c r="FN289" s="48"/>
      <c r="FO289" s="48"/>
      <c r="FP289" s="48"/>
      <c r="FQ289" s="48"/>
      <c r="FR289" s="48"/>
      <c r="FS289" s="48"/>
      <c r="FT289" s="48"/>
      <c r="FU289" s="48"/>
      <c r="FV289" s="48"/>
      <c r="FW289" s="48"/>
      <c r="FX289" s="48"/>
      <c r="FY289" s="48"/>
      <c r="FZ289" s="48"/>
      <c r="GA289" s="48"/>
      <c r="GB289" s="48"/>
      <c r="GC289" s="48"/>
      <c r="GD289" s="48"/>
      <c r="GE289" s="48"/>
      <c r="GF289" s="48"/>
      <c r="GG289" s="48"/>
      <c r="GH289" s="48"/>
      <c r="GI289" s="48"/>
      <c r="GJ289" s="8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77"/>
      <c r="GY289" s="77"/>
      <c r="GZ289" s="77"/>
    </row>
    <row r="290" spans="1:208">
      <c r="A290" s="48"/>
      <c r="B290" s="49"/>
      <c r="C290" s="50"/>
      <c r="D290" s="51"/>
      <c r="E290" s="50"/>
      <c r="F290" s="52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90"/>
      <c r="V290" s="91"/>
      <c r="W290" s="92"/>
      <c r="X290" s="92"/>
      <c r="Y290" s="92"/>
      <c r="Z290" s="91"/>
      <c r="AA290" s="93"/>
      <c r="AB290" s="99"/>
      <c r="AC290" s="54"/>
      <c r="AD290" s="54"/>
      <c r="AE290" s="54"/>
      <c r="AF290" s="54"/>
      <c r="AG290" s="54"/>
      <c r="AH290" s="54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113"/>
      <c r="BB290" s="110"/>
      <c r="BC290" s="110"/>
      <c r="BD290" s="110"/>
      <c r="BE290" s="110"/>
      <c r="BF290" s="110"/>
      <c r="BG290" s="110"/>
      <c r="BH290" s="110"/>
      <c r="BI290" s="113"/>
      <c r="BJ290" s="110"/>
      <c r="BK290" s="110"/>
      <c r="BL290" s="110"/>
      <c r="BM290" s="110"/>
      <c r="BN290" s="113"/>
      <c r="BO290" s="110"/>
      <c r="BP290" s="110"/>
      <c r="BQ290" s="110"/>
      <c r="BR290" s="110"/>
      <c r="BS290" s="110"/>
      <c r="BT290" s="110"/>
      <c r="BU290" s="110"/>
      <c r="BV290" s="110"/>
      <c r="BW290" s="110"/>
      <c r="BX290" s="113"/>
      <c r="BY290" s="110"/>
      <c r="BZ290" s="110"/>
      <c r="CA290" s="110"/>
      <c r="CB290" s="110"/>
      <c r="CC290" s="110"/>
      <c r="CD290" s="110"/>
      <c r="CE290" s="110"/>
      <c r="CF290" s="110"/>
      <c r="CG290" s="113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66"/>
      <c r="DA290" s="70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56"/>
      <c r="DR290" s="57"/>
      <c r="DS290" s="58"/>
      <c r="DT290" s="58"/>
      <c r="DU290" s="58"/>
      <c r="DV290" s="58"/>
      <c r="DW290" s="58"/>
      <c r="DX290" s="58"/>
      <c r="DY290" s="58"/>
      <c r="DZ290" s="59"/>
      <c r="EA290" s="60"/>
      <c r="EB290" s="61"/>
      <c r="EC290" s="62"/>
      <c r="ED290" s="2"/>
      <c r="EE290" s="63"/>
      <c r="EF290" s="63"/>
      <c r="EG290" s="63"/>
      <c r="EH290" s="63"/>
      <c r="EI290" s="63"/>
      <c r="EJ290" s="63"/>
      <c r="EK290" s="63"/>
      <c r="EL290" s="63"/>
      <c r="EM290" s="63"/>
      <c r="EN290" s="63"/>
      <c r="EO290" s="63"/>
      <c r="EP290" s="63"/>
      <c r="EQ290" s="63"/>
      <c r="ER290" s="63"/>
      <c r="ES290" s="63"/>
      <c r="ET290" s="63"/>
      <c r="EU290" s="80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5"/>
      <c r="FH290" s="84"/>
      <c r="FI290" s="64"/>
      <c r="FJ290" s="8"/>
      <c r="FK290" s="48"/>
      <c r="FL290" s="48"/>
      <c r="FM290" s="48"/>
      <c r="FN290" s="48"/>
      <c r="FO290" s="48"/>
      <c r="FP290" s="48"/>
      <c r="FQ290" s="48"/>
      <c r="FR290" s="48"/>
      <c r="FS290" s="48"/>
      <c r="FT290" s="48"/>
      <c r="FU290" s="48"/>
      <c r="FV290" s="48"/>
      <c r="FW290" s="48"/>
      <c r="FX290" s="48"/>
      <c r="FY290" s="48"/>
      <c r="FZ290" s="48"/>
      <c r="GA290" s="48"/>
      <c r="GB290" s="48"/>
      <c r="GC290" s="48"/>
      <c r="GD290" s="48"/>
      <c r="GE290" s="48"/>
      <c r="GF290" s="48"/>
      <c r="GG290" s="48"/>
      <c r="GH290" s="48"/>
      <c r="GI290" s="48"/>
      <c r="GJ290" s="8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77"/>
      <c r="GY290" s="77"/>
      <c r="GZ290" s="77"/>
    </row>
    <row r="291" spans="1:208">
      <c r="A291" s="48"/>
      <c r="B291" s="49"/>
      <c r="C291" s="50"/>
      <c r="D291" s="51"/>
      <c r="E291" s="50"/>
      <c r="F291" s="52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90"/>
      <c r="V291" s="91"/>
      <c r="W291" s="92"/>
      <c r="X291" s="92"/>
      <c r="Y291" s="92"/>
      <c r="Z291" s="91"/>
      <c r="AA291" s="93"/>
      <c r="AB291" s="99"/>
      <c r="AC291" s="54"/>
      <c r="AD291" s="54"/>
      <c r="AE291" s="54"/>
      <c r="AF291" s="54"/>
      <c r="AG291" s="54"/>
      <c r="AH291" s="54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113"/>
      <c r="BB291" s="110"/>
      <c r="BC291" s="110"/>
      <c r="BD291" s="110"/>
      <c r="BE291" s="110"/>
      <c r="BF291" s="110"/>
      <c r="BG291" s="110"/>
      <c r="BH291" s="110"/>
      <c r="BI291" s="113"/>
      <c r="BJ291" s="110"/>
      <c r="BK291" s="110"/>
      <c r="BL291" s="110"/>
      <c r="BM291" s="110"/>
      <c r="BN291" s="113"/>
      <c r="BO291" s="110"/>
      <c r="BP291" s="110"/>
      <c r="BQ291" s="110"/>
      <c r="BR291" s="110"/>
      <c r="BS291" s="110"/>
      <c r="BT291" s="110"/>
      <c r="BU291" s="110"/>
      <c r="BV291" s="110"/>
      <c r="BW291" s="110"/>
      <c r="BX291" s="113"/>
      <c r="BY291" s="110"/>
      <c r="BZ291" s="110"/>
      <c r="CA291" s="110"/>
      <c r="CB291" s="110"/>
      <c r="CC291" s="110"/>
      <c r="CD291" s="110"/>
      <c r="CE291" s="110"/>
      <c r="CF291" s="110"/>
      <c r="CG291" s="113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66"/>
      <c r="DA291" s="70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56"/>
      <c r="DR291" s="57"/>
      <c r="DS291" s="58"/>
      <c r="DT291" s="58"/>
      <c r="DU291" s="58"/>
      <c r="DV291" s="58"/>
      <c r="DW291" s="58"/>
      <c r="DX291" s="58"/>
      <c r="DY291" s="58"/>
      <c r="DZ291" s="59"/>
      <c r="EA291" s="60"/>
      <c r="EB291" s="61"/>
      <c r="EC291" s="62"/>
      <c r="ED291" s="2"/>
      <c r="EE291" s="63"/>
      <c r="EF291" s="63"/>
      <c r="EG291" s="63"/>
      <c r="EH291" s="63"/>
      <c r="EI291" s="63"/>
      <c r="EJ291" s="63"/>
      <c r="EK291" s="63"/>
      <c r="EL291" s="63"/>
      <c r="EM291" s="63"/>
      <c r="EN291" s="63"/>
      <c r="EO291" s="63"/>
      <c r="EP291" s="63"/>
      <c r="EQ291" s="63"/>
      <c r="ER291" s="63"/>
      <c r="ES291" s="63"/>
      <c r="ET291" s="63"/>
      <c r="EU291" s="80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5"/>
      <c r="FH291" s="84"/>
      <c r="FI291" s="64"/>
      <c r="FJ291" s="8"/>
      <c r="FK291" s="48"/>
      <c r="FL291" s="48"/>
      <c r="FM291" s="48"/>
      <c r="FN291" s="48"/>
      <c r="FO291" s="48"/>
      <c r="FP291" s="48"/>
      <c r="FQ291" s="48"/>
      <c r="FR291" s="48"/>
      <c r="FS291" s="48"/>
      <c r="FT291" s="48"/>
      <c r="FU291" s="48"/>
      <c r="FV291" s="48"/>
      <c r="FW291" s="48"/>
      <c r="FX291" s="48"/>
      <c r="FY291" s="48"/>
      <c r="FZ291" s="48"/>
      <c r="GA291" s="48"/>
      <c r="GB291" s="48"/>
      <c r="GC291" s="48"/>
      <c r="GD291" s="48"/>
      <c r="GE291" s="48"/>
      <c r="GF291" s="48"/>
      <c r="GG291" s="48"/>
      <c r="GH291" s="48"/>
      <c r="GI291" s="48"/>
      <c r="GJ291" s="8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77"/>
      <c r="GY291" s="77"/>
      <c r="GZ291" s="77"/>
    </row>
    <row r="292" spans="1:208">
      <c r="A292" s="48"/>
      <c r="B292" s="49"/>
      <c r="C292" s="50"/>
      <c r="D292" s="51"/>
      <c r="E292" s="50"/>
      <c r="F292" s="52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90"/>
      <c r="V292" s="91"/>
      <c r="W292" s="92"/>
      <c r="X292" s="92"/>
      <c r="Y292" s="92"/>
      <c r="Z292" s="91"/>
      <c r="AA292" s="93"/>
      <c r="AB292" s="99"/>
      <c r="AC292" s="54"/>
      <c r="AD292" s="54"/>
      <c r="AE292" s="54"/>
      <c r="AF292" s="54"/>
      <c r="AG292" s="54"/>
      <c r="AH292" s="54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113"/>
      <c r="BB292" s="110"/>
      <c r="BC292" s="110"/>
      <c r="BD292" s="110"/>
      <c r="BE292" s="110"/>
      <c r="BF292" s="110"/>
      <c r="BG292" s="110"/>
      <c r="BH292" s="110"/>
      <c r="BI292" s="113"/>
      <c r="BJ292" s="110"/>
      <c r="BK292" s="110"/>
      <c r="BL292" s="110"/>
      <c r="BM292" s="110"/>
      <c r="BN292" s="113"/>
      <c r="BO292" s="110"/>
      <c r="BP292" s="110"/>
      <c r="BQ292" s="110"/>
      <c r="BR292" s="110"/>
      <c r="BS292" s="110"/>
      <c r="BT292" s="110"/>
      <c r="BU292" s="110"/>
      <c r="BV292" s="110"/>
      <c r="BW292" s="110"/>
      <c r="BX292" s="113"/>
      <c r="BY292" s="110"/>
      <c r="BZ292" s="110"/>
      <c r="CA292" s="110"/>
      <c r="CB292" s="110"/>
      <c r="CC292" s="110"/>
      <c r="CD292" s="110"/>
      <c r="CE292" s="110"/>
      <c r="CF292" s="110"/>
      <c r="CG292" s="113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66"/>
      <c r="DA292" s="70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56"/>
      <c r="DR292" s="57"/>
      <c r="DS292" s="58"/>
      <c r="DT292" s="58"/>
      <c r="DU292" s="58"/>
      <c r="DV292" s="58"/>
      <c r="DW292" s="58"/>
      <c r="DX292" s="58"/>
      <c r="DY292" s="58"/>
      <c r="DZ292" s="59"/>
      <c r="EA292" s="60"/>
      <c r="EB292" s="61"/>
      <c r="EC292" s="62"/>
      <c r="ED292" s="2"/>
      <c r="EE292" s="63"/>
      <c r="EF292" s="63"/>
      <c r="EG292" s="63"/>
      <c r="EH292" s="63"/>
      <c r="EI292" s="63"/>
      <c r="EJ292" s="63"/>
      <c r="EK292" s="63"/>
      <c r="EL292" s="63"/>
      <c r="EM292" s="63"/>
      <c r="EN292" s="63"/>
      <c r="EO292" s="63"/>
      <c r="EP292" s="63"/>
      <c r="EQ292" s="63"/>
      <c r="ER292" s="63"/>
      <c r="ES292" s="63"/>
      <c r="ET292" s="63"/>
      <c r="EU292" s="80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5"/>
      <c r="FH292" s="84"/>
      <c r="FI292" s="64"/>
      <c r="FJ292" s="8"/>
      <c r="FK292" s="48"/>
      <c r="FL292" s="48"/>
      <c r="FM292" s="48"/>
      <c r="FN292" s="48"/>
      <c r="FO292" s="48"/>
      <c r="FP292" s="48"/>
      <c r="FQ292" s="48"/>
      <c r="FR292" s="48"/>
      <c r="FS292" s="48"/>
      <c r="FT292" s="48"/>
      <c r="FU292" s="48"/>
      <c r="FV292" s="48"/>
      <c r="FW292" s="48"/>
      <c r="FX292" s="48"/>
      <c r="FY292" s="48"/>
      <c r="FZ292" s="48"/>
      <c r="GA292" s="48"/>
      <c r="GB292" s="48"/>
      <c r="GC292" s="48"/>
      <c r="GD292" s="48"/>
      <c r="GE292" s="48"/>
      <c r="GF292" s="48"/>
      <c r="GG292" s="48"/>
      <c r="GH292" s="48"/>
      <c r="GI292" s="48"/>
      <c r="GJ292" s="8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77"/>
      <c r="GY292" s="77"/>
      <c r="GZ292" s="77"/>
    </row>
    <row r="293" spans="1:208">
      <c r="A293" s="48"/>
      <c r="B293" s="49"/>
      <c r="C293" s="50"/>
      <c r="D293" s="51"/>
      <c r="E293" s="50"/>
      <c r="F293" s="52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90"/>
      <c r="V293" s="91"/>
      <c r="W293" s="92"/>
      <c r="X293" s="92"/>
      <c r="Y293" s="92"/>
      <c r="Z293" s="91"/>
      <c r="AA293" s="93"/>
      <c r="AB293" s="99"/>
      <c r="AC293" s="54"/>
      <c r="AD293" s="54"/>
      <c r="AE293" s="54"/>
      <c r="AF293" s="54"/>
      <c r="AG293" s="54"/>
      <c r="AH293" s="54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113"/>
      <c r="BB293" s="110"/>
      <c r="BC293" s="110"/>
      <c r="BD293" s="110"/>
      <c r="BE293" s="110"/>
      <c r="BF293" s="110"/>
      <c r="BG293" s="110"/>
      <c r="BH293" s="110"/>
      <c r="BI293" s="113"/>
      <c r="BJ293" s="110"/>
      <c r="BK293" s="110"/>
      <c r="BL293" s="110"/>
      <c r="BM293" s="110"/>
      <c r="BN293" s="113"/>
      <c r="BO293" s="110"/>
      <c r="BP293" s="110"/>
      <c r="BQ293" s="110"/>
      <c r="BR293" s="110"/>
      <c r="BS293" s="110"/>
      <c r="BT293" s="110"/>
      <c r="BU293" s="110"/>
      <c r="BV293" s="110"/>
      <c r="BW293" s="110"/>
      <c r="BX293" s="113"/>
      <c r="BY293" s="110"/>
      <c r="BZ293" s="110"/>
      <c r="CA293" s="110"/>
      <c r="CB293" s="110"/>
      <c r="CC293" s="110"/>
      <c r="CD293" s="110"/>
      <c r="CE293" s="110"/>
      <c r="CF293" s="110"/>
      <c r="CG293" s="113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66"/>
      <c r="DA293" s="70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56"/>
      <c r="DR293" s="57"/>
      <c r="DS293" s="58"/>
      <c r="DT293" s="58"/>
      <c r="DU293" s="58"/>
      <c r="DV293" s="58"/>
      <c r="DW293" s="58"/>
      <c r="DX293" s="58"/>
      <c r="DY293" s="58"/>
      <c r="DZ293" s="59"/>
      <c r="EA293" s="60"/>
      <c r="EB293" s="61"/>
      <c r="EC293" s="62"/>
      <c r="ED293" s="2"/>
      <c r="EE293" s="63"/>
      <c r="EF293" s="63"/>
      <c r="EG293" s="63"/>
      <c r="EH293" s="63"/>
      <c r="EI293" s="63"/>
      <c r="EJ293" s="63"/>
      <c r="EK293" s="63"/>
      <c r="EL293" s="63"/>
      <c r="EM293" s="63"/>
      <c r="EN293" s="63"/>
      <c r="EO293" s="63"/>
      <c r="EP293" s="63"/>
      <c r="EQ293" s="63"/>
      <c r="ER293" s="63"/>
      <c r="ES293" s="63"/>
      <c r="ET293" s="63"/>
      <c r="EU293" s="80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5"/>
      <c r="FH293" s="84"/>
      <c r="FI293" s="64"/>
      <c r="FJ293" s="8"/>
      <c r="FK293" s="48"/>
      <c r="FL293" s="48"/>
      <c r="FM293" s="48"/>
      <c r="FN293" s="48"/>
      <c r="FO293" s="48"/>
      <c r="FP293" s="48"/>
      <c r="FQ293" s="48"/>
      <c r="FR293" s="48"/>
      <c r="FS293" s="48"/>
      <c r="FT293" s="48"/>
      <c r="FU293" s="48"/>
      <c r="FV293" s="48"/>
      <c r="FW293" s="48"/>
      <c r="FX293" s="48"/>
      <c r="FY293" s="48"/>
      <c r="FZ293" s="48"/>
      <c r="GA293" s="48"/>
      <c r="GB293" s="48"/>
      <c r="GC293" s="48"/>
      <c r="GD293" s="48"/>
      <c r="GE293" s="48"/>
      <c r="GF293" s="48"/>
      <c r="GG293" s="48"/>
      <c r="GH293" s="48"/>
      <c r="GI293" s="48"/>
      <c r="GJ293" s="8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77"/>
      <c r="GY293" s="77"/>
      <c r="GZ293" s="77"/>
    </row>
    <row r="294" spans="1:208">
      <c r="A294" s="48"/>
      <c r="B294" s="49"/>
      <c r="C294" s="50"/>
      <c r="D294" s="51"/>
      <c r="E294" s="50"/>
      <c r="F294" s="52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90"/>
      <c r="V294" s="91"/>
      <c r="W294" s="92"/>
      <c r="X294" s="92"/>
      <c r="Y294" s="92"/>
      <c r="Z294" s="91"/>
      <c r="AA294" s="93"/>
      <c r="AB294" s="99"/>
      <c r="AC294" s="54"/>
      <c r="AD294" s="54"/>
      <c r="AE294" s="54"/>
      <c r="AF294" s="54"/>
      <c r="AG294" s="54"/>
      <c r="AH294" s="54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113"/>
      <c r="BB294" s="110"/>
      <c r="BC294" s="110"/>
      <c r="BD294" s="110"/>
      <c r="BE294" s="110"/>
      <c r="BF294" s="110"/>
      <c r="BG294" s="110"/>
      <c r="BH294" s="110"/>
      <c r="BI294" s="113"/>
      <c r="BJ294" s="110"/>
      <c r="BK294" s="110"/>
      <c r="BL294" s="110"/>
      <c r="BM294" s="110"/>
      <c r="BN294" s="113"/>
      <c r="BO294" s="110"/>
      <c r="BP294" s="110"/>
      <c r="BQ294" s="110"/>
      <c r="BR294" s="110"/>
      <c r="BS294" s="110"/>
      <c r="BT294" s="110"/>
      <c r="BU294" s="110"/>
      <c r="BV294" s="110"/>
      <c r="BW294" s="110"/>
      <c r="BX294" s="113"/>
      <c r="BY294" s="110"/>
      <c r="BZ294" s="110"/>
      <c r="CA294" s="110"/>
      <c r="CB294" s="110"/>
      <c r="CC294" s="110"/>
      <c r="CD294" s="110"/>
      <c r="CE294" s="110"/>
      <c r="CF294" s="110"/>
      <c r="CG294" s="113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66"/>
      <c r="DA294" s="70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56"/>
      <c r="DR294" s="57"/>
      <c r="DS294" s="58"/>
      <c r="DT294" s="58"/>
      <c r="DU294" s="58"/>
      <c r="DV294" s="58"/>
      <c r="DW294" s="58"/>
      <c r="DX294" s="58"/>
      <c r="DY294" s="58"/>
      <c r="DZ294" s="59"/>
      <c r="EA294" s="60"/>
      <c r="EB294" s="61"/>
      <c r="EC294" s="62"/>
      <c r="ED294" s="2"/>
      <c r="EE294" s="63"/>
      <c r="EF294" s="63"/>
      <c r="EG294" s="63"/>
      <c r="EH294" s="63"/>
      <c r="EI294" s="63"/>
      <c r="EJ294" s="63"/>
      <c r="EK294" s="63"/>
      <c r="EL294" s="63"/>
      <c r="EM294" s="63"/>
      <c r="EN294" s="63"/>
      <c r="EO294" s="63"/>
      <c r="EP294" s="63"/>
      <c r="EQ294" s="63"/>
      <c r="ER294" s="63"/>
      <c r="ES294" s="63"/>
      <c r="ET294" s="63"/>
      <c r="EU294" s="80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5"/>
      <c r="FH294" s="84"/>
      <c r="FI294" s="64"/>
      <c r="FJ294" s="8"/>
      <c r="FK294" s="48"/>
      <c r="FL294" s="48"/>
      <c r="FM294" s="48"/>
      <c r="FN294" s="48"/>
      <c r="FO294" s="48"/>
      <c r="FP294" s="48"/>
      <c r="FQ294" s="48"/>
      <c r="FR294" s="48"/>
      <c r="FS294" s="48"/>
      <c r="FT294" s="48"/>
      <c r="FU294" s="48"/>
      <c r="FV294" s="48"/>
      <c r="FW294" s="48"/>
      <c r="FX294" s="48"/>
      <c r="FY294" s="48"/>
      <c r="FZ294" s="48"/>
      <c r="GA294" s="48"/>
      <c r="GB294" s="48"/>
      <c r="GC294" s="48"/>
      <c r="GD294" s="48"/>
      <c r="GE294" s="48"/>
      <c r="GF294" s="48"/>
      <c r="GG294" s="48"/>
      <c r="GH294" s="48"/>
      <c r="GI294" s="48"/>
      <c r="GJ294" s="8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77"/>
      <c r="GY294" s="77"/>
      <c r="GZ294" s="77"/>
    </row>
    <row r="295" spans="1:208">
      <c r="A295" s="48"/>
      <c r="B295" s="49"/>
      <c r="C295" s="50"/>
      <c r="D295" s="51"/>
      <c r="E295" s="50"/>
      <c r="F295" s="52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90"/>
      <c r="V295" s="91"/>
      <c r="W295" s="92"/>
      <c r="X295" s="92"/>
      <c r="Y295" s="92"/>
      <c r="Z295" s="91"/>
      <c r="AA295" s="93"/>
      <c r="AB295" s="99"/>
      <c r="AC295" s="54"/>
      <c r="AD295" s="54"/>
      <c r="AE295" s="54"/>
      <c r="AF295" s="54"/>
      <c r="AG295" s="54"/>
      <c r="AH295" s="54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113"/>
      <c r="BB295" s="110"/>
      <c r="BC295" s="110"/>
      <c r="BD295" s="110"/>
      <c r="BE295" s="110"/>
      <c r="BF295" s="110"/>
      <c r="BG295" s="110"/>
      <c r="BH295" s="110"/>
      <c r="BI295" s="113"/>
      <c r="BJ295" s="110"/>
      <c r="BK295" s="110"/>
      <c r="BL295" s="110"/>
      <c r="BM295" s="110"/>
      <c r="BN295" s="113"/>
      <c r="BO295" s="110"/>
      <c r="BP295" s="110"/>
      <c r="BQ295" s="110"/>
      <c r="BR295" s="110"/>
      <c r="BS295" s="110"/>
      <c r="BT295" s="110"/>
      <c r="BU295" s="110"/>
      <c r="BV295" s="110"/>
      <c r="BW295" s="110"/>
      <c r="BX295" s="113"/>
      <c r="BY295" s="110"/>
      <c r="BZ295" s="110"/>
      <c r="CA295" s="110"/>
      <c r="CB295" s="110"/>
      <c r="CC295" s="110"/>
      <c r="CD295" s="110"/>
      <c r="CE295" s="110"/>
      <c r="CF295" s="110"/>
      <c r="CG295" s="113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66"/>
      <c r="DA295" s="70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56"/>
      <c r="DR295" s="57"/>
      <c r="DS295" s="58"/>
      <c r="DT295" s="58"/>
      <c r="DU295" s="58"/>
      <c r="DV295" s="58"/>
      <c r="DW295" s="58"/>
      <c r="DX295" s="58"/>
      <c r="DY295" s="58"/>
      <c r="DZ295" s="59"/>
      <c r="EA295" s="60"/>
      <c r="EB295" s="61"/>
      <c r="EC295" s="62"/>
      <c r="ED295" s="2"/>
      <c r="EE295" s="63"/>
      <c r="EF295" s="63"/>
      <c r="EG295" s="63"/>
      <c r="EH295" s="63"/>
      <c r="EI295" s="63"/>
      <c r="EJ295" s="63"/>
      <c r="EK295" s="63"/>
      <c r="EL295" s="63"/>
      <c r="EM295" s="63"/>
      <c r="EN295" s="63"/>
      <c r="EO295" s="63"/>
      <c r="EP295" s="63"/>
      <c r="EQ295" s="63"/>
      <c r="ER295" s="63"/>
      <c r="ES295" s="63"/>
      <c r="ET295" s="63"/>
      <c r="EU295" s="80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5"/>
      <c r="FH295" s="84"/>
      <c r="FI295" s="64"/>
      <c r="FJ295" s="8"/>
      <c r="FK295" s="48"/>
      <c r="FL295" s="48"/>
      <c r="FM295" s="48"/>
      <c r="FN295" s="48"/>
      <c r="FO295" s="48"/>
      <c r="FP295" s="48"/>
      <c r="FQ295" s="48"/>
      <c r="FR295" s="48"/>
      <c r="FS295" s="48"/>
      <c r="FT295" s="48"/>
      <c r="FU295" s="48"/>
      <c r="FV295" s="48"/>
      <c r="FW295" s="48"/>
      <c r="FX295" s="48"/>
      <c r="FY295" s="48"/>
      <c r="FZ295" s="48"/>
      <c r="GA295" s="48"/>
      <c r="GB295" s="48"/>
      <c r="GC295" s="48"/>
      <c r="GD295" s="48"/>
      <c r="GE295" s="48"/>
      <c r="GF295" s="48"/>
      <c r="GG295" s="48"/>
      <c r="GH295" s="48"/>
      <c r="GI295" s="48"/>
      <c r="GJ295" s="8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77"/>
      <c r="GY295" s="77"/>
      <c r="GZ295" s="77"/>
    </row>
    <row r="296" spans="1:208">
      <c r="A296" s="48"/>
      <c r="B296" s="49"/>
      <c r="C296" s="50"/>
      <c r="D296" s="51"/>
      <c r="E296" s="50"/>
      <c r="F296" s="52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90"/>
      <c r="V296" s="91"/>
      <c r="W296" s="92"/>
      <c r="X296" s="92"/>
      <c r="Y296" s="92"/>
      <c r="Z296" s="91"/>
      <c r="AA296" s="93"/>
      <c r="AB296" s="99"/>
      <c r="AC296" s="54"/>
      <c r="AD296" s="54"/>
      <c r="AE296" s="54"/>
      <c r="AF296" s="54"/>
      <c r="AG296" s="54"/>
      <c r="AH296" s="54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113"/>
      <c r="BB296" s="110"/>
      <c r="BC296" s="110"/>
      <c r="BD296" s="110"/>
      <c r="BE296" s="110"/>
      <c r="BF296" s="110"/>
      <c r="BG296" s="110"/>
      <c r="BH296" s="110"/>
      <c r="BI296" s="113"/>
      <c r="BJ296" s="110"/>
      <c r="BK296" s="110"/>
      <c r="BL296" s="110"/>
      <c r="BM296" s="110"/>
      <c r="BN296" s="113"/>
      <c r="BO296" s="110"/>
      <c r="BP296" s="110"/>
      <c r="BQ296" s="110"/>
      <c r="BR296" s="110"/>
      <c r="BS296" s="110"/>
      <c r="BT296" s="110"/>
      <c r="BU296" s="110"/>
      <c r="BV296" s="110"/>
      <c r="BW296" s="110"/>
      <c r="BX296" s="113"/>
      <c r="BY296" s="110"/>
      <c r="BZ296" s="110"/>
      <c r="CA296" s="110"/>
      <c r="CB296" s="110"/>
      <c r="CC296" s="110"/>
      <c r="CD296" s="110"/>
      <c r="CE296" s="110"/>
      <c r="CF296" s="110"/>
      <c r="CG296" s="113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66"/>
      <c r="DA296" s="70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56"/>
      <c r="DR296" s="57"/>
      <c r="DS296" s="58"/>
      <c r="DT296" s="58"/>
      <c r="DU296" s="58"/>
      <c r="DV296" s="58"/>
      <c r="DW296" s="58"/>
      <c r="DX296" s="58"/>
      <c r="DY296" s="58"/>
      <c r="DZ296" s="59"/>
      <c r="EA296" s="60"/>
      <c r="EB296" s="61"/>
      <c r="EC296" s="62"/>
      <c r="ED296" s="2"/>
      <c r="EE296" s="63"/>
      <c r="EF296" s="63"/>
      <c r="EG296" s="63"/>
      <c r="EH296" s="63"/>
      <c r="EI296" s="63"/>
      <c r="EJ296" s="63"/>
      <c r="EK296" s="63"/>
      <c r="EL296" s="63"/>
      <c r="EM296" s="63"/>
      <c r="EN296" s="63"/>
      <c r="EO296" s="63"/>
      <c r="EP296" s="63"/>
      <c r="EQ296" s="63"/>
      <c r="ER296" s="63"/>
      <c r="ES296" s="63"/>
      <c r="ET296" s="63"/>
      <c r="EU296" s="80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5"/>
      <c r="FH296" s="84"/>
      <c r="FI296" s="64"/>
      <c r="FJ296" s="8"/>
      <c r="FK296" s="48"/>
      <c r="FL296" s="48"/>
      <c r="FM296" s="48"/>
      <c r="FN296" s="48"/>
      <c r="FO296" s="48"/>
      <c r="FP296" s="48"/>
      <c r="FQ296" s="48"/>
      <c r="FR296" s="48"/>
      <c r="FS296" s="48"/>
      <c r="FT296" s="48"/>
      <c r="FU296" s="48"/>
      <c r="FV296" s="48"/>
      <c r="FW296" s="48"/>
      <c r="FX296" s="48"/>
      <c r="FY296" s="48"/>
      <c r="FZ296" s="48"/>
      <c r="GA296" s="48"/>
      <c r="GB296" s="48"/>
      <c r="GC296" s="48"/>
      <c r="GD296" s="48"/>
      <c r="GE296" s="48"/>
      <c r="GF296" s="48"/>
      <c r="GG296" s="48"/>
      <c r="GH296" s="48"/>
      <c r="GI296" s="48"/>
      <c r="GJ296" s="8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77"/>
      <c r="GY296" s="77"/>
      <c r="GZ296" s="77"/>
    </row>
    <row r="297" spans="1:208">
      <c r="A297" s="48"/>
      <c r="B297" s="49"/>
      <c r="C297" s="50"/>
      <c r="D297" s="51"/>
      <c r="E297" s="50"/>
      <c r="F297" s="52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90"/>
      <c r="V297" s="91"/>
      <c r="W297" s="92"/>
      <c r="X297" s="92"/>
      <c r="Y297" s="92"/>
      <c r="Z297" s="91"/>
      <c r="AA297" s="93"/>
      <c r="AB297" s="99"/>
      <c r="AC297" s="54"/>
      <c r="AD297" s="54"/>
      <c r="AE297" s="54"/>
      <c r="AF297" s="54"/>
      <c r="AG297" s="54"/>
      <c r="AH297" s="54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113"/>
      <c r="BB297" s="110"/>
      <c r="BC297" s="110"/>
      <c r="BD297" s="110"/>
      <c r="BE297" s="110"/>
      <c r="BF297" s="110"/>
      <c r="BG297" s="110"/>
      <c r="BH297" s="110"/>
      <c r="BI297" s="113"/>
      <c r="BJ297" s="110"/>
      <c r="BK297" s="110"/>
      <c r="BL297" s="110"/>
      <c r="BM297" s="110"/>
      <c r="BN297" s="113"/>
      <c r="BO297" s="110"/>
      <c r="BP297" s="110"/>
      <c r="BQ297" s="110"/>
      <c r="BR297" s="110"/>
      <c r="BS297" s="110"/>
      <c r="BT297" s="110"/>
      <c r="BU297" s="110"/>
      <c r="BV297" s="110"/>
      <c r="BW297" s="110"/>
      <c r="BX297" s="113"/>
      <c r="BY297" s="110"/>
      <c r="BZ297" s="110"/>
      <c r="CA297" s="110"/>
      <c r="CB297" s="110"/>
      <c r="CC297" s="110"/>
      <c r="CD297" s="110"/>
      <c r="CE297" s="110"/>
      <c r="CF297" s="110"/>
      <c r="CG297" s="113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66"/>
      <c r="DA297" s="70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56"/>
      <c r="DR297" s="57"/>
      <c r="DS297" s="58"/>
      <c r="DT297" s="58"/>
      <c r="DU297" s="58"/>
      <c r="DV297" s="58"/>
      <c r="DW297" s="58"/>
      <c r="DX297" s="58"/>
      <c r="DY297" s="58"/>
      <c r="DZ297" s="59"/>
      <c r="EA297" s="60"/>
      <c r="EB297" s="61"/>
      <c r="EC297" s="62"/>
      <c r="ED297" s="2"/>
      <c r="EE297" s="63"/>
      <c r="EF297" s="63"/>
      <c r="EG297" s="63"/>
      <c r="EH297" s="63"/>
      <c r="EI297" s="63"/>
      <c r="EJ297" s="63"/>
      <c r="EK297" s="63"/>
      <c r="EL297" s="63"/>
      <c r="EM297" s="63"/>
      <c r="EN297" s="63"/>
      <c r="EO297" s="63"/>
      <c r="EP297" s="63"/>
      <c r="EQ297" s="63"/>
      <c r="ER297" s="63"/>
      <c r="ES297" s="63"/>
      <c r="ET297" s="63"/>
      <c r="EU297" s="80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5"/>
      <c r="FH297" s="84"/>
      <c r="FI297" s="64"/>
      <c r="FJ297" s="8"/>
      <c r="FK297" s="48"/>
      <c r="FL297" s="48"/>
      <c r="FM297" s="48"/>
      <c r="FN297" s="48"/>
      <c r="FO297" s="48"/>
      <c r="FP297" s="48"/>
      <c r="FQ297" s="48"/>
      <c r="FR297" s="48"/>
      <c r="FS297" s="48"/>
      <c r="FT297" s="48"/>
      <c r="FU297" s="48"/>
      <c r="FV297" s="48"/>
      <c r="FW297" s="48"/>
      <c r="FX297" s="48"/>
      <c r="FY297" s="48"/>
      <c r="FZ297" s="48"/>
      <c r="GA297" s="48"/>
      <c r="GB297" s="48"/>
      <c r="GC297" s="48"/>
      <c r="GD297" s="48"/>
      <c r="GE297" s="48"/>
      <c r="GF297" s="48"/>
      <c r="GG297" s="48"/>
      <c r="GH297" s="48"/>
      <c r="GI297" s="48"/>
      <c r="GJ297" s="8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77"/>
      <c r="GY297" s="77"/>
      <c r="GZ297" s="77"/>
    </row>
    <row r="298" spans="1:208">
      <c r="A298" s="48"/>
      <c r="B298" s="49"/>
      <c r="C298" s="50"/>
      <c r="D298" s="51"/>
      <c r="E298" s="50"/>
      <c r="F298" s="52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90"/>
      <c r="V298" s="91"/>
      <c r="W298" s="92"/>
      <c r="X298" s="92"/>
      <c r="Y298" s="92"/>
      <c r="Z298" s="91"/>
      <c r="AA298" s="93"/>
      <c r="AB298" s="99"/>
      <c r="AC298" s="54"/>
      <c r="AD298" s="54"/>
      <c r="AE298" s="54"/>
      <c r="AF298" s="54"/>
      <c r="AG298" s="54"/>
      <c r="AH298" s="54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113"/>
      <c r="BB298" s="110"/>
      <c r="BC298" s="110"/>
      <c r="BD298" s="110"/>
      <c r="BE298" s="110"/>
      <c r="BF298" s="110"/>
      <c r="BG298" s="110"/>
      <c r="BH298" s="110"/>
      <c r="BI298" s="113"/>
      <c r="BJ298" s="110"/>
      <c r="BK298" s="110"/>
      <c r="BL298" s="110"/>
      <c r="BM298" s="110"/>
      <c r="BN298" s="113"/>
      <c r="BO298" s="110"/>
      <c r="BP298" s="110"/>
      <c r="BQ298" s="110"/>
      <c r="BR298" s="110"/>
      <c r="BS298" s="110"/>
      <c r="BT298" s="110"/>
      <c r="BU298" s="110"/>
      <c r="BV298" s="110"/>
      <c r="BW298" s="110"/>
      <c r="BX298" s="113"/>
      <c r="BY298" s="110"/>
      <c r="BZ298" s="110"/>
      <c r="CA298" s="110"/>
      <c r="CB298" s="110"/>
      <c r="CC298" s="110"/>
      <c r="CD298" s="110"/>
      <c r="CE298" s="110"/>
      <c r="CF298" s="110"/>
      <c r="CG298" s="113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66"/>
      <c r="DA298" s="70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56"/>
      <c r="DR298" s="57"/>
      <c r="DS298" s="58"/>
      <c r="DT298" s="58"/>
      <c r="DU298" s="58"/>
      <c r="DV298" s="58"/>
      <c r="DW298" s="58"/>
      <c r="DX298" s="58"/>
      <c r="DY298" s="58"/>
      <c r="DZ298" s="59"/>
      <c r="EA298" s="60"/>
      <c r="EB298" s="61"/>
      <c r="EC298" s="62"/>
      <c r="ED298" s="2"/>
      <c r="EE298" s="63"/>
      <c r="EF298" s="63"/>
      <c r="EG298" s="63"/>
      <c r="EH298" s="63"/>
      <c r="EI298" s="63"/>
      <c r="EJ298" s="63"/>
      <c r="EK298" s="63"/>
      <c r="EL298" s="63"/>
      <c r="EM298" s="63"/>
      <c r="EN298" s="63"/>
      <c r="EO298" s="63"/>
      <c r="EP298" s="63"/>
      <c r="EQ298" s="63"/>
      <c r="ER298" s="63"/>
      <c r="ES298" s="63"/>
      <c r="ET298" s="63"/>
      <c r="EU298" s="80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5"/>
      <c r="FH298" s="84"/>
      <c r="FI298" s="64"/>
      <c r="FJ298" s="8"/>
      <c r="FK298" s="48"/>
      <c r="FL298" s="48"/>
      <c r="FM298" s="48"/>
      <c r="FN298" s="48"/>
      <c r="FO298" s="48"/>
      <c r="FP298" s="48"/>
      <c r="FQ298" s="48"/>
      <c r="FR298" s="48"/>
      <c r="FS298" s="48"/>
      <c r="FT298" s="48"/>
      <c r="FU298" s="48"/>
      <c r="FV298" s="48"/>
      <c r="FW298" s="48"/>
      <c r="FX298" s="48"/>
      <c r="FY298" s="48"/>
      <c r="FZ298" s="48"/>
      <c r="GA298" s="48"/>
      <c r="GB298" s="48"/>
      <c r="GC298" s="48"/>
      <c r="GD298" s="48"/>
      <c r="GE298" s="48"/>
      <c r="GF298" s="48"/>
      <c r="GG298" s="48"/>
      <c r="GH298" s="48"/>
      <c r="GI298" s="48"/>
      <c r="GJ298" s="8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77"/>
      <c r="GY298" s="77"/>
      <c r="GZ298" s="77"/>
    </row>
    <row r="299" spans="1:208">
      <c r="A299" s="48"/>
      <c r="B299" s="49"/>
      <c r="C299" s="50"/>
      <c r="D299" s="51"/>
      <c r="E299" s="50"/>
      <c r="F299" s="52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90"/>
      <c r="V299" s="91"/>
      <c r="W299" s="92"/>
      <c r="X299" s="92"/>
      <c r="Y299" s="92"/>
      <c r="Z299" s="91"/>
      <c r="AA299" s="93"/>
      <c r="AB299" s="99"/>
      <c r="AC299" s="54"/>
      <c r="AD299" s="54"/>
      <c r="AE299" s="54"/>
      <c r="AF299" s="54"/>
      <c r="AG299" s="54"/>
      <c r="AH299" s="54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113"/>
      <c r="BB299" s="110"/>
      <c r="BC299" s="110"/>
      <c r="BD299" s="110"/>
      <c r="BE299" s="110"/>
      <c r="BF299" s="110"/>
      <c r="BG299" s="110"/>
      <c r="BH299" s="110"/>
      <c r="BI299" s="113"/>
      <c r="BJ299" s="110"/>
      <c r="BK299" s="110"/>
      <c r="BL299" s="110"/>
      <c r="BM299" s="110"/>
      <c r="BN299" s="113"/>
      <c r="BO299" s="110"/>
      <c r="BP299" s="110"/>
      <c r="BQ299" s="110"/>
      <c r="BR299" s="110"/>
      <c r="BS299" s="110"/>
      <c r="BT299" s="110"/>
      <c r="BU299" s="110"/>
      <c r="BV299" s="110"/>
      <c r="BW299" s="110"/>
      <c r="BX299" s="113"/>
      <c r="BY299" s="110"/>
      <c r="BZ299" s="110"/>
      <c r="CA299" s="110"/>
      <c r="CB299" s="110"/>
      <c r="CC299" s="110"/>
      <c r="CD299" s="110"/>
      <c r="CE299" s="110"/>
      <c r="CF299" s="110"/>
      <c r="CG299" s="113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66"/>
      <c r="DA299" s="70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56"/>
      <c r="DR299" s="57"/>
      <c r="DS299" s="58"/>
      <c r="DT299" s="58"/>
      <c r="DU299" s="58"/>
      <c r="DV299" s="58"/>
      <c r="DW299" s="58"/>
      <c r="DX299" s="58"/>
      <c r="DY299" s="58"/>
      <c r="DZ299" s="59"/>
      <c r="EA299" s="60"/>
      <c r="EB299" s="61"/>
      <c r="EC299" s="62"/>
      <c r="ED299" s="2"/>
      <c r="EE299" s="63"/>
      <c r="EF299" s="63"/>
      <c r="EG299" s="63"/>
      <c r="EH299" s="63"/>
      <c r="EI299" s="63"/>
      <c r="EJ299" s="63"/>
      <c r="EK299" s="63"/>
      <c r="EL299" s="63"/>
      <c r="EM299" s="63"/>
      <c r="EN299" s="63"/>
      <c r="EO299" s="63"/>
      <c r="EP299" s="63"/>
      <c r="EQ299" s="63"/>
      <c r="ER299" s="63"/>
      <c r="ES299" s="63"/>
      <c r="ET299" s="63"/>
      <c r="EU299" s="80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5"/>
      <c r="FH299" s="84"/>
      <c r="FI299" s="64"/>
      <c r="FJ299" s="8"/>
      <c r="FK299" s="48"/>
      <c r="FL299" s="48"/>
      <c r="FM299" s="48"/>
      <c r="FN299" s="48"/>
      <c r="FO299" s="48"/>
      <c r="FP299" s="48"/>
      <c r="FQ299" s="48"/>
      <c r="FR299" s="48"/>
      <c r="FS299" s="48"/>
      <c r="FT299" s="48"/>
      <c r="FU299" s="48"/>
      <c r="FV299" s="48"/>
      <c r="FW299" s="48"/>
      <c r="FX299" s="48"/>
      <c r="FY299" s="48"/>
      <c r="FZ299" s="48"/>
      <c r="GA299" s="48"/>
      <c r="GB299" s="48"/>
      <c r="GC299" s="48"/>
      <c r="GD299" s="48"/>
      <c r="GE299" s="48"/>
      <c r="GF299" s="48"/>
      <c r="GG299" s="48"/>
      <c r="GH299" s="48"/>
      <c r="GI299" s="48"/>
      <c r="GJ299" s="8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77"/>
      <c r="GY299" s="77"/>
      <c r="GZ299" s="77"/>
    </row>
    <row r="300" spans="1:208">
      <c r="A300" s="48"/>
      <c r="B300" s="49"/>
      <c r="C300" s="50"/>
      <c r="D300" s="51"/>
      <c r="E300" s="50"/>
      <c r="F300" s="52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90"/>
      <c r="V300" s="91"/>
      <c r="W300" s="92"/>
      <c r="X300" s="92"/>
      <c r="Y300" s="92"/>
      <c r="Z300" s="91"/>
      <c r="AA300" s="93"/>
      <c r="AB300" s="99"/>
      <c r="AC300" s="54"/>
      <c r="AD300" s="54"/>
      <c r="AE300" s="54"/>
      <c r="AF300" s="54"/>
      <c r="AG300" s="54"/>
      <c r="AH300" s="54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113"/>
      <c r="BB300" s="110"/>
      <c r="BC300" s="110"/>
      <c r="BD300" s="110"/>
      <c r="BE300" s="110"/>
      <c r="BF300" s="110"/>
      <c r="BG300" s="110"/>
      <c r="BH300" s="110"/>
      <c r="BI300" s="113"/>
      <c r="BJ300" s="110"/>
      <c r="BK300" s="110"/>
      <c r="BL300" s="110"/>
      <c r="BM300" s="110"/>
      <c r="BN300" s="113"/>
      <c r="BO300" s="110"/>
      <c r="BP300" s="110"/>
      <c r="BQ300" s="110"/>
      <c r="BR300" s="110"/>
      <c r="BS300" s="110"/>
      <c r="BT300" s="110"/>
      <c r="BU300" s="110"/>
      <c r="BV300" s="110"/>
      <c r="BW300" s="110"/>
      <c r="BX300" s="113"/>
      <c r="BY300" s="110"/>
      <c r="BZ300" s="110"/>
      <c r="CA300" s="110"/>
      <c r="CB300" s="110"/>
      <c r="CC300" s="110"/>
      <c r="CD300" s="110"/>
      <c r="CE300" s="110"/>
      <c r="CF300" s="110"/>
      <c r="CG300" s="113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66"/>
      <c r="DA300" s="70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56"/>
      <c r="DR300" s="57"/>
      <c r="DS300" s="58"/>
      <c r="DT300" s="58"/>
      <c r="DU300" s="58"/>
      <c r="DV300" s="58"/>
      <c r="DW300" s="58"/>
      <c r="DX300" s="58"/>
      <c r="DY300" s="58"/>
      <c r="DZ300" s="59"/>
      <c r="EA300" s="60"/>
      <c r="EB300" s="61"/>
      <c r="EC300" s="62"/>
      <c r="ED300" s="2"/>
      <c r="EE300" s="63"/>
      <c r="EF300" s="63"/>
      <c r="EG300" s="63"/>
      <c r="EH300" s="63"/>
      <c r="EI300" s="63"/>
      <c r="EJ300" s="63"/>
      <c r="EK300" s="63"/>
      <c r="EL300" s="63"/>
      <c r="EM300" s="63"/>
      <c r="EN300" s="63"/>
      <c r="EO300" s="63"/>
      <c r="EP300" s="63"/>
      <c r="EQ300" s="63"/>
      <c r="ER300" s="63"/>
      <c r="ES300" s="63"/>
      <c r="ET300" s="63"/>
      <c r="EU300" s="80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5"/>
      <c r="FH300" s="84"/>
      <c r="FI300" s="64"/>
      <c r="FJ300" s="8"/>
      <c r="FK300" s="48"/>
      <c r="FL300" s="48"/>
      <c r="FM300" s="48"/>
      <c r="FN300" s="48"/>
      <c r="FO300" s="48"/>
      <c r="FP300" s="48"/>
      <c r="FQ300" s="48"/>
      <c r="FR300" s="48"/>
      <c r="FS300" s="48"/>
      <c r="FT300" s="48"/>
      <c r="FU300" s="48"/>
      <c r="FV300" s="48"/>
      <c r="FW300" s="48"/>
      <c r="FX300" s="48"/>
      <c r="FY300" s="48"/>
      <c r="FZ300" s="48"/>
      <c r="GA300" s="48"/>
      <c r="GB300" s="48"/>
      <c r="GC300" s="48"/>
      <c r="GD300" s="48"/>
      <c r="GE300" s="48"/>
      <c r="GF300" s="48"/>
      <c r="GG300" s="48"/>
      <c r="GH300" s="48"/>
      <c r="GI300" s="48"/>
      <c r="GJ300" s="8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77"/>
      <c r="GY300" s="77"/>
      <c r="GZ300" s="77"/>
    </row>
    <row r="301" spans="1:208">
      <c r="A301" s="48"/>
      <c r="B301" s="49"/>
      <c r="C301" s="50"/>
      <c r="D301" s="51"/>
      <c r="E301" s="50"/>
      <c r="F301" s="52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90"/>
      <c r="V301" s="91"/>
      <c r="W301" s="92"/>
      <c r="X301" s="92"/>
      <c r="Y301" s="92"/>
      <c r="Z301" s="91"/>
      <c r="AA301" s="93"/>
      <c r="AB301" s="99"/>
      <c r="AC301" s="54"/>
      <c r="AD301" s="54"/>
      <c r="AE301" s="54"/>
      <c r="AF301" s="54"/>
      <c r="AG301" s="54"/>
      <c r="AH301" s="54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113"/>
      <c r="BB301" s="110"/>
      <c r="BC301" s="110"/>
      <c r="BD301" s="110"/>
      <c r="BE301" s="110"/>
      <c r="BF301" s="110"/>
      <c r="BG301" s="110"/>
      <c r="BH301" s="110"/>
      <c r="BI301" s="113"/>
      <c r="BJ301" s="110"/>
      <c r="BK301" s="110"/>
      <c r="BL301" s="110"/>
      <c r="BM301" s="110"/>
      <c r="BN301" s="113"/>
      <c r="BO301" s="110"/>
      <c r="BP301" s="110"/>
      <c r="BQ301" s="110"/>
      <c r="BR301" s="110"/>
      <c r="BS301" s="110"/>
      <c r="BT301" s="110"/>
      <c r="BU301" s="110"/>
      <c r="BV301" s="110"/>
      <c r="BW301" s="110"/>
      <c r="BX301" s="113"/>
      <c r="BY301" s="110"/>
      <c r="BZ301" s="110"/>
      <c r="CA301" s="110"/>
      <c r="CB301" s="110"/>
      <c r="CC301" s="110"/>
      <c r="CD301" s="110"/>
      <c r="CE301" s="110"/>
      <c r="CF301" s="110"/>
      <c r="CG301" s="113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66"/>
      <c r="DA301" s="70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56"/>
      <c r="DR301" s="57"/>
      <c r="DS301" s="58"/>
      <c r="DT301" s="58"/>
      <c r="DU301" s="58"/>
      <c r="DV301" s="58"/>
      <c r="DW301" s="58"/>
      <c r="DX301" s="58"/>
      <c r="DY301" s="58"/>
      <c r="DZ301" s="59"/>
      <c r="EA301" s="60"/>
      <c r="EB301" s="61"/>
      <c r="EC301" s="62"/>
      <c r="ED301" s="2"/>
      <c r="EE301" s="63"/>
      <c r="EF301" s="63"/>
      <c r="EG301" s="63"/>
      <c r="EH301" s="63"/>
      <c r="EI301" s="63"/>
      <c r="EJ301" s="63"/>
      <c r="EK301" s="63"/>
      <c r="EL301" s="63"/>
      <c r="EM301" s="63"/>
      <c r="EN301" s="63"/>
      <c r="EO301" s="63"/>
      <c r="EP301" s="63"/>
      <c r="EQ301" s="63"/>
      <c r="ER301" s="63"/>
      <c r="ES301" s="63"/>
      <c r="ET301" s="63"/>
      <c r="EU301" s="80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5"/>
      <c r="FH301" s="84"/>
      <c r="FI301" s="64"/>
      <c r="FJ301" s="8"/>
      <c r="FK301" s="48"/>
      <c r="FL301" s="48"/>
      <c r="FM301" s="48"/>
      <c r="FN301" s="48"/>
      <c r="FO301" s="48"/>
      <c r="FP301" s="48"/>
      <c r="FQ301" s="48"/>
      <c r="FR301" s="48"/>
      <c r="FS301" s="48"/>
      <c r="FT301" s="48"/>
      <c r="FU301" s="48"/>
      <c r="FV301" s="48"/>
      <c r="FW301" s="48"/>
      <c r="FX301" s="48"/>
      <c r="FY301" s="48"/>
      <c r="FZ301" s="48"/>
      <c r="GA301" s="48"/>
      <c r="GB301" s="48"/>
      <c r="GC301" s="48"/>
      <c r="GD301" s="48"/>
      <c r="GE301" s="48"/>
      <c r="GF301" s="48"/>
      <c r="GG301" s="48"/>
      <c r="GH301" s="48"/>
      <c r="GI301" s="48"/>
      <c r="GJ301" s="8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77"/>
      <c r="GY301" s="77"/>
      <c r="GZ301" s="77"/>
    </row>
    <row r="302" spans="1:208">
      <c r="A302" s="48"/>
      <c r="B302" s="49"/>
      <c r="C302" s="50"/>
      <c r="D302" s="51"/>
      <c r="E302" s="50"/>
      <c r="F302" s="52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90"/>
      <c r="V302" s="91"/>
      <c r="W302" s="92"/>
      <c r="X302" s="92"/>
      <c r="Y302" s="92"/>
      <c r="Z302" s="91"/>
      <c r="AA302" s="93"/>
      <c r="AB302" s="99"/>
      <c r="AC302" s="54"/>
      <c r="AD302" s="54"/>
      <c r="AE302" s="54"/>
      <c r="AF302" s="54"/>
      <c r="AG302" s="54"/>
      <c r="AH302" s="54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113"/>
      <c r="BB302" s="110"/>
      <c r="BC302" s="110"/>
      <c r="BD302" s="110"/>
      <c r="BE302" s="110"/>
      <c r="BF302" s="110"/>
      <c r="BG302" s="110"/>
      <c r="BH302" s="110"/>
      <c r="BI302" s="113"/>
      <c r="BJ302" s="110"/>
      <c r="BK302" s="110"/>
      <c r="BL302" s="110"/>
      <c r="BM302" s="110"/>
      <c r="BN302" s="113"/>
      <c r="BO302" s="110"/>
      <c r="BP302" s="110"/>
      <c r="BQ302" s="110"/>
      <c r="BR302" s="110"/>
      <c r="BS302" s="110"/>
      <c r="BT302" s="110"/>
      <c r="BU302" s="110"/>
      <c r="BV302" s="110"/>
      <c r="BW302" s="110"/>
      <c r="BX302" s="113"/>
      <c r="BY302" s="110"/>
      <c r="BZ302" s="110"/>
      <c r="CA302" s="110"/>
      <c r="CB302" s="110"/>
      <c r="CC302" s="110"/>
      <c r="CD302" s="110"/>
      <c r="CE302" s="110"/>
      <c r="CF302" s="110"/>
      <c r="CG302" s="113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66"/>
      <c r="DA302" s="70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56"/>
      <c r="DR302" s="57"/>
      <c r="DS302" s="58"/>
      <c r="DT302" s="58"/>
      <c r="DU302" s="58"/>
      <c r="DV302" s="58"/>
      <c r="DW302" s="58"/>
      <c r="DX302" s="58"/>
      <c r="DY302" s="58"/>
      <c r="DZ302" s="59"/>
      <c r="EA302" s="60"/>
      <c r="EB302" s="61"/>
      <c r="EC302" s="62"/>
      <c r="ED302" s="2"/>
      <c r="EE302" s="63"/>
      <c r="EF302" s="63"/>
      <c r="EG302" s="63"/>
      <c r="EH302" s="63"/>
      <c r="EI302" s="63"/>
      <c r="EJ302" s="63"/>
      <c r="EK302" s="63"/>
      <c r="EL302" s="63"/>
      <c r="EM302" s="63"/>
      <c r="EN302" s="63"/>
      <c r="EO302" s="63"/>
      <c r="EP302" s="63"/>
      <c r="EQ302" s="63"/>
      <c r="ER302" s="63"/>
      <c r="ES302" s="63"/>
      <c r="ET302" s="63"/>
      <c r="EU302" s="80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5"/>
      <c r="FH302" s="84"/>
      <c r="FI302" s="64"/>
      <c r="FJ302" s="8"/>
      <c r="FK302" s="48"/>
      <c r="FL302" s="48"/>
      <c r="FM302" s="48"/>
      <c r="FN302" s="48"/>
      <c r="FO302" s="48"/>
      <c r="FP302" s="48"/>
      <c r="FQ302" s="48"/>
      <c r="FR302" s="48"/>
      <c r="FS302" s="48"/>
      <c r="FT302" s="48"/>
      <c r="FU302" s="48"/>
      <c r="FV302" s="48"/>
      <c r="FW302" s="48"/>
      <c r="FX302" s="48"/>
      <c r="FY302" s="48"/>
      <c r="FZ302" s="48"/>
      <c r="GA302" s="48"/>
      <c r="GB302" s="48"/>
      <c r="GC302" s="48"/>
      <c r="GD302" s="48"/>
      <c r="GE302" s="48"/>
      <c r="GF302" s="48"/>
      <c r="GG302" s="48"/>
      <c r="GH302" s="48"/>
      <c r="GI302" s="48"/>
      <c r="GJ302" s="8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77"/>
      <c r="GY302" s="77"/>
      <c r="GZ302" s="77"/>
    </row>
    <row r="303" spans="1:208">
      <c r="A303" s="48"/>
      <c r="B303" s="49"/>
      <c r="C303" s="50"/>
      <c r="D303" s="51"/>
      <c r="E303" s="50"/>
      <c r="F303" s="52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90"/>
      <c r="V303" s="91"/>
      <c r="W303" s="92"/>
      <c r="X303" s="92"/>
      <c r="Y303" s="92"/>
      <c r="Z303" s="91"/>
      <c r="AA303" s="93"/>
      <c r="AB303" s="99"/>
      <c r="AC303" s="54"/>
      <c r="AD303" s="54"/>
      <c r="AE303" s="54"/>
      <c r="AF303" s="54"/>
      <c r="AG303" s="54"/>
      <c r="AH303" s="54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113"/>
      <c r="BB303" s="110"/>
      <c r="BC303" s="110"/>
      <c r="BD303" s="110"/>
      <c r="BE303" s="110"/>
      <c r="BF303" s="110"/>
      <c r="BG303" s="110"/>
      <c r="BH303" s="110"/>
      <c r="BI303" s="113"/>
      <c r="BJ303" s="110"/>
      <c r="BK303" s="110"/>
      <c r="BL303" s="110"/>
      <c r="BM303" s="110"/>
      <c r="BN303" s="113"/>
      <c r="BO303" s="110"/>
      <c r="BP303" s="110"/>
      <c r="BQ303" s="110"/>
      <c r="BR303" s="110"/>
      <c r="BS303" s="110"/>
      <c r="BT303" s="110"/>
      <c r="BU303" s="110"/>
      <c r="BV303" s="110"/>
      <c r="BW303" s="110"/>
      <c r="BX303" s="113"/>
      <c r="BY303" s="110"/>
      <c r="BZ303" s="110"/>
      <c r="CA303" s="110"/>
      <c r="CB303" s="110"/>
      <c r="CC303" s="110"/>
      <c r="CD303" s="110"/>
      <c r="CE303" s="110"/>
      <c r="CF303" s="110"/>
      <c r="CG303" s="113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66"/>
      <c r="DA303" s="70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56"/>
      <c r="DR303" s="57"/>
      <c r="DS303" s="58"/>
      <c r="DT303" s="58"/>
      <c r="DU303" s="58"/>
      <c r="DV303" s="58"/>
      <c r="DW303" s="58"/>
      <c r="DX303" s="58"/>
      <c r="DY303" s="58"/>
      <c r="DZ303" s="59"/>
      <c r="EA303" s="60"/>
      <c r="EB303" s="61"/>
      <c r="EC303" s="62"/>
      <c r="ED303" s="2"/>
      <c r="EE303" s="63"/>
      <c r="EF303" s="63"/>
      <c r="EG303" s="63"/>
      <c r="EH303" s="63"/>
      <c r="EI303" s="63"/>
      <c r="EJ303" s="63"/>
      <c r="EK303" s="63"/>
      <c r="EL303" s="63"/>
      <c r="EM303" s="63"/>
      <c r="EN303" s="63"/>
      <c r="EO303" s="63"/>
      <c r="EP303" s="63"/>
      <c r="EQ303" s="63"/>
      <c r="ER303" s="63"/>
      <c r="ES303" s="63"/>
      <c r="ET303" s="63"/>
      <c r="EU303" s="80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5"/>
      <c r="FH303" s="84"/>
      <c r="FI303" s="64"/>
      <c r="FJ303" s="8"/>
      <c r="FK303" s="48"/>
      <c r="FL303" s="48"/>
      <c r="FM303" s="48"/>
      <c r="FN303" s="48"/>
      <c r="FO303" s="48"/>
      <c r="FP303" s="48"/>
      <c r="FQ303" s="48"/>
      <c r="FR303" s="48"/>
      <c r="FS303" s="48"/>
      <c r="FT303" s="48"/>
      <c r="FU303" s="48"/>
      <c r="FV303" s="48"/>
      <c r="FW303" s="48"/>
      <c r="FX303" s="48"/>
      <c r="FY303" s="48"/>
      <c r="FZ303" s="48"/>
      <c r="GA303" s="48"/>
      <c r="GB303" s="48"/>
      <c r="GC303" s="48"/>
      <c r="GD303" s="48"/>
      <c r="GE303" s="48"/>
      <c r="GF303" s="48"/>
      <c r="GG303" s="48"/>
      <c r="GH303" s="48"/>
      <c r="GI303" s="48"/>
      <c r="GJ303" s="8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77"/>
      <c r="GY303" s="77"/>
      <c r="GZ303" s="77"/>
    </row>
    <row r="304" spans="1:208">
      <c r="A304" s="48"/>
      <c r="B304" s="49"/>
      <c r="C304" s="50"/>
      <c r="D304" s="51"/>
      <c r="E304" s="50"/>
      <c r="F304" s="52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90"/>
      <c r="V304" s="91"/>
      <c r="W304" s="92"/>
      <c r="X304" s="92"/>
      <c r="Y304" s="92"/>
      <c r="Z304" s="91"/>
      <c r="AA304" s="93"/>
      <c r="AB304" s="99"/>
      <c r="AC304" s="54"/>
      <c r="AD304" s="54"/>
      <c r="AE304" s="54"/>
      <c r="AF304" s="54"/>
      <c r="AG304" s="54"/>
      <c r="AH304" s="54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113"/>
      <c r="BB304" s="110"/>
      <c r="BC304" s="110"/>
      <c r="BD304" s="110"/>
      <c r="BE304" s="110"/>
      <c r="BF304" s="110"/>
      <c r="BG304" s="110"/>
      <c r="BH304" s="110"/>
      <c r="BI304" s="113"/>
      <c r="BJ304" s="110"/>
      <c r="BK304" s="110"/>
      <c r="BL304" s="110"/>
      <c r="BM304" s="110"/>
      <c r="BN304" s="113"/>
      <c r="BO304" s="110"/>
      <c r="BP304" s="110"/>
      <c r="BQ304" s="110"/>
      <c r="BR304" s="110"/>
      <c r="BS304" s="110"/>
      <c r="BT304" s="110"/>
      <c r="BU304" s="110"/>
      <c r="BV304" s="110"/>
      <c r="BW304" s="110"/>
      <c r="BX304" s="113"/>
      <c r="BY304" s="110"/>
      <c r="BZ304" s="110"/>
      <c r="CA304" s="110"/>
      <c r="CB304" s="110"/>
      <c r="CC304" s="110"/>
      <c r="CD304" s="110"/>
      <c r="CE304" s="110"/>
      <c r="CF304" s="110"/>
      <c r="CG304" s="113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66"/>
      <c r="DA304" s="70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56"/>
      <c r="DR304" s="57"/>
      <c r="DS304" s="58"/>
      <c r="DT304" s="58"/>
      <c r="DU304" s="58"/>
      <c r="DV304" s="58"/>
      <c r="DW304" s="58"/>
      <c r="DX304" s="58"/>
      <c r="DY304" s="58"/>
      <c r="DZ304" s="59"/>
      <c r="EA304" s="60"/>
      <c r="EB304" s="61"/>
      <c r="EC304" s="62"/>
      <c r="ED304" s="2"/>
      <c r="EE304" s="63"/>
      <c r="EF304" s="63"/>
      <c r="EG304" s="63"/>
      <c r="EH304" s="63"/>
      <c r="EI304" s="63"/>
      <c r="EJ304" s="63"/>
      <c r="EK304" s="63"/>
      <c r="EL304" s="63"/>
      <c r="EM304" s="63"/>
      <c r="EN304" s="63"/>
      <c r="EO304" s="63"/>
      <c r="EP304" s="63"/>
      <c r="EQ304" s="63"/>
      <c r="ER304" s="63"/>
      <c r="ES304" s="63"/>
      <c r="ET304" s="63"/>
      <c r="EU304" s="80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5"/>
      <c r="FH304" s="84"/>
      <c r="FI304" s="64"/>
      <c r="FJ304" s="8"/>
      <c r="FK304" s="48"/>
      <c r="FL304" s="48"/>
      <c r="FM304" s="48"/>
      <c r="FN304" s="48"/>
      <c r="FO304" s="48"/>
      <c r="FP304" s="48"/>
      <c r="FQ304" s="48"/>
      <c r="FR304" s="48"/>
      <c r="FS304" s="48"/>
      <c r="FT304" s="48"/>
      <c r="FU304" s="48"/>
      <c r="FV304" s="48"/>
      <c r="FW304" s="48"/>
      <c r="FX304" s="48"/>
      <c r="FY304" s="48"/>
      <c r="FZ304" s="48"/>
      <c r="GA304" s="48"/>
      <c r="GB304" s="48"/>
      <c r="GC304" s="48"/>
      <c r="GD304" s="48"/>
      <c r="GE304" s="48"/>
      <c r="GF304" s="48"/>
      <c r="GG304" s="48"/>
      <c r="GH304" s="48"/>
      <c r="GI304" s="48"/>
      <c r="GJ304" s="8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77"/>
      <c r="GY304" s="77"/>
      <c r="GZ304" s="77"/>
    </row>
    <row r="305" spans="1:208">
      <c r="A305" s="48"/>
      <c r="B305" s="49"/>
      <c r="C305" s="50"/>
      <c r="D305" s="51"/>
      <c r="E305" s="50"/>
      <c r="F305" s="52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90"/>
      <c r="V305" s="91"/>
      <c r="W305" s="92"/>
      <c r="X305" s="92"/>
      <c r="Y305" s="92"/>
      <c r="Z305" s="91"/>
      <c r="AA305" s="93"/>
      <c r="AB305" s="99"/>
      <c r="AC305" s="54"/>
      <c r="AD305" s="54"/>
      <c r="AE305" s="54"/>
      <c r="AF305" s="54"/>
      <c r="AG305" s="54"/>
      <c r="AH305" s="54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113"/>
      <c r="BB305" s="110"/>
      <c r="BC305" s="110"/>
      <c r="BD305" s="110"/>
      <c r="BE305" s="110"/>
      <c r="BF305" s="110"/>
      <c r="BG305" s="110"/>
      <c r="BH305" s="110"/>
      <c r="BI305" s="113"/>
      <c r="BJ305" s="110"/>
      <c r="BK305" s="110"/>
      <c r="BL305" s="110"/>
      <c r="BM305" s="110"/>
      <c r="BN305" s="113"/>
      <c r="BO305" s="110"/>
      <c r="BP305" s="110"/>
      <c r="BQ305" s="110"/>
      <c r="BR305" s="110"/>
      <c r="BS305" s="110"/>
      <c r="BT305" s="110"/>
      <c r="BU305" s="110"/>
      <c r="BV305" s="110"/>
      <c r="BW305" s="110"/>
      <c r="BX305" s="113"/>
      <c r="BY305" s="110"/>
      <c r="BZ305" s="110"/>
      <c r="CA305" s="110"/>
      <c r="CB305" s="110"/>
      <c r="CC305" s="110"/>
      <c r="CD305" s="110"/>
      <c r="CE305" s="110"/>
      <c r="CF305" s="110"/>
      <c r="CG305" s="113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66"/>
      <c r="DA305" s="70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56"/>
      <c r="DR305" s="57"/>
      <c r="DS305" s="58"/>
      <c r="DT305" s="58"/>
      <c r="DU305" s="58"/>
      <c r="DV305" s="58"/>
      <c r="DW305" s="58"/>
      <c r="DX305" s="58"/>
      <c r="DY305" s="58"/>
      <c r="DZ305" s="59"/>
      <c r="EA305" s="60"/>
      <c r="EB305" s="61"/>
      <c r="EC305" s="62"/>
      <c r="ED305" s="2"/>
      <c r="EE305" s="63"/>
      <c r="EF305" s="63"/>
      <c r="EG305" s="63"/>
      <c r="EH305" s="63"/>
      <c r="EI305" s="63"/>
      <c r="EJ305" s="63"/>
      <c r="EK305" s="63"/>
      <c r="EL305" s="63"/>
      <c r="EM305" s="63"/>
      <c r="EN305" s="63"/>
      <c r="EO305" s="63"/>
      <c r="EP305" s="63"/>
      <c r="EQ305" s="63"/>
      <c r="ER305" s="63"/>
      <c r="ES305" s="63"/>
      <c r="ET305" s="63"/>
      <c r="EU305" s="80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5"/>
      <c r="FH305" s="84"/>
      <c r="FI305" s="64"/>
      <c r="FJ305" s="8"/>
      <c r="FK305" s="48"/>
      <c r="FL305" s="48"/>
      <c r="FM305" s="48"/>
      <c r="FN305" s="48"/>
      <c r="FO305" s="48"/>
      <c r="FP305" s="48"/>
      <c r="FQ305" s="48"/>
      <c r="FR305" s="48"/>
      <c r="FS305" s="48"/>
      <c r="FT305" s="48"/>
      <c r="FU305" s="48"/>
      <c r="FV305" s="48"/>
      <c r="FW305" s="48"/>
      <c r="FX305" s="48"/>
      <c r="FY305" s="48"/>
      <c r="FZ305" s="48"/>
      <c r="GA305" s="48"/>
      <c r="GB305" s="48"/>
      <c r="GC305" s="48"/>
      <c r="GD305" s="48"/>
      <c r="GE305" s="48"/>
      <c r="GF305" s="48"/>
      <c r="GG305" s="48"/>
      <c r="GH305" s="48"/>
      <c r="GI305" s="48"/>
      <c r="GJ305" s="8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77"/>
      <c r="GY305" s="77"/>
      <c r="GZ305" s="77"/>
    </row>
    <row r="306" spans="1:208">
      <c r="A306" s="48"/>
      <c r="B306" s="49"/>
      <c r="C306" s="50"/>
      <c r="D306" s="51"/>
      <c r="E306" s="50"/>
      <c r="F306" s="52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90"/>
      <c r="V306" s="91"/>
      <c r="W306" s="92"/>
      <c r="X306" s="92"/>
      <c r="Y306" s="92"/>
      <c r="Z306" s="91"/>
      <c r="AA306" s="93"/>
      <c r="AB306" s="99"/>
      <c r="AC306" s="54"/>
      <c r="AD306" s="54"/>
      <c r="AE306" s="54"/>
      <c r="AF306" s="54"/>
      <c r="AG306" s="54"/>
      <c r="AH306" s="54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113"/>
      <c r="BB306" s="110"/>
      <c r="BC306" s="110"/>
      <c r="BD306" s="110"/>
      <c r="BE306" s="110"/>
      <c r="BF306" s="110"/>
      <c r="BG306" s="110"/>
      <c r="BH306" s="110"/>
      <c r="BI306" s="113"/>
      <c r="BJ306" s="110"/>
      <c r="BK306" s="110"/>
      <c r="BL306" s="110"/>
      <c r="BM306" s="110"/>
      <c r="BN306" s="113"/>
      <c r="BO306" s="110"/>
      <c r="BP306" s="110"/>
      <c r="BQ306" s="110"/>
      <c r="BR306" s="110"/>
      <c r="BS306" s="110"/>
      <c r="BT306" s="110"/>
      <c r="BU306" s="110"/>
      <c r="BV306" s="110"/>
      <c r="BW306" s="110"/>
      <c r="BX306" s="113"/>
      <c r="BY306" s="110"/>
      <c r="BZ306" s="110"/>
      <c r="CA306" s="110"/>
      <c r="CB306" s="110"/>
      <c r="CC306" s="110"/>
      <c r="CD306" s="110"/>
      <c r="CE306" s="110"/>
      <c r="CF306" s="110"/>
      <c r="CG306" s="113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66"/>
      <c r="DA306" s="70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56"/>
      <c r="DR306" s="57"/>
      <c r="DS306" s="58"/>
      <c r="DT306" s="58"/>
      <c r="DU306" s="58"/>
      <c r="DV306" s="58"/>
      <c r="DW306" s="58"/>
      <c r="DX306" s="58"/>
      <c r="DY306" s="58"/>
      <c r="DZ306" s="59"/>
      <c r="EA306" s="60"/>
      <c r="EB306" s="61"/>
      <c r="EC306" s="62"/>
      <c r="ED306" s="2"/>
      <c r="EE306" s="63"/>
      <c r="EF306" s="63"/>
      <c r="EG306" s="63"/>
      <c r="EH306" s="63"/>
      <c r="EI306" s="63"/>
      <c r="EJ306" s="63"/>
      <c r="EK306" s="63"/>
      <c r="EL306" s="63"/>
      <c r="EM306" s="63"/>
      <c r="EN306" s="63"/>
      <c r="EO306" s="63"/>
      <c r="EP306" s="63"/>
      <c r="EQ306" s="63"/>
      <c r="ER306" s="63"/>
      <c r="ES306" s="63"/>
      <c r="ET306" s="63"/>
      <c r="EU306" s="80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5"/>
      <c r="FH306" s="84"/>
      <c r="FI306" s="64"/>
      <c r="FJ306" s="8"/>
      <c r="FK306" s="48"/>
      <c r="FL306" s="48"/>
      <c r="FM306" s="48"/>
      <c r="FN306" s="48"/>
      <c r="FO306" s="48"/>
      <c r="FP306" s="48"/>
      <c r="FQ306" s="48"/>
      <c r="FR306" s="48"/>
      <c r="FS306" s="48"/>
      <c r="FT306" s="48"/>
      <c r="FU306" s="48"/>
      <c r="FV306" s="48"/>
      <c r="FW306" s="48"/>
      <c r="FX306" s="48"/>
      <c r="FY306" s="48"/>
      <c r="FZ306" s="48"/>
      <c r="GA306" s="48"/>
      <c r="GB306" s="48"/>
      <c r="GC306" s="48"/>
      <c r="GD306" s="48"/>
      <c r="GE306" s="48"/>
      <c r="GF306" s="48"/>
      <c r="GG306" s="48"/>
      <c r="GH306" s="48"/>
      <c r="GI306" s="48"/>
      <c r="GJ306" s="8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77"/>
      <c r="GY306" s="77"/>
      <c r="GZ306" s="77"/>
    </row>
    <row r="307" spans="1:208">
      <c r="A307" s="48"/>
      <c r="B307" s="49"/>
      <c r="C307" s="50"/>
      <c r="D307" s="51"/>
      <c r="E307" s="50"/>
      <c r="F307" s="52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90"/>
      <c r="V307" s="91"/>
      <c r="W307" s="92"/>
      <c r="X307" s="92"/>
      <c r="Y307" s="92"/>
      <c r="Z307" s="91"/>
      <c r="AA307" s="93"/>
      <c r="AB307" s="99"/>
      <c r="AC307" s="54"/>
      <c r="AD307" s="54"/>
      <c r="AE307" s="54"/>
      <c r="AF307" s="54"/>
      <c r="AG307" s="54"/>
      <c r="AH307" s="54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113"/>
      <c r="BB307" s="110"/>
      <c r="BC307" s="110"/>
      <c r="BD307" s="110"/>
      <c r="BE307" s="110"/>
      <c r="BF307" s="110"/>
      <c r="BG307" s="110"/>
      <c r="BH307" s="110"/>
      <c r="BI307" s="113"/>
      <c r="BJ307" s="110"/>
      <c r="BK307" s="110"/>
      <c r="BL307" s="110"/>
      <c r="BM307" s="110"/>
      <c r="BN307" s="113"/>
      <c r="BO307" s="110"/>
      <c r="BP307" s="110"/>
      <c r="BQ307" s="110"/>
      <c r="BR307" s="110"/>
      <c r="BS307" s="110"/>
      <c r="BT307" s="110"/>
      <c r="BU307" s="110"/>
      <c r="BV307" s="110"/>
      <c r="BW307" s="110"/>
      <c r="BX307" s="113"/>
      <c r="BY307" s="110"/>
      <c r="BZ307" s="110"/>
      <c r="CA307" s="110"/>
      <c r="CB307" s="110"/>
      <c r="CC307" s="110"/>
      <c r="CD307" s="110"/>
      <c r="CE307" s="110"/>
      <c r="CF307" s="110"/>
      <c r="CG307" s="113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66"/>
      <c r="DA307" s="70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56"/>
      <c r="DR307" s="57"/>
      <c r="DS307" s="58"/>
      <c r="DT307" s="58"/>
      <c r="DU307" s="58"/>
      <c r="DV307" s="58"/>
      <c r="DW307" s="58"/>
      <c r="DX307" s="58"/>
      <c r="DY307" s="58"/>
      <c r="DZ307" s="59"/>
      <c r="EA307" s="60"/>
      <c r="EB307" s="61"/>
      <c r="EC307" s="62"/>
      <c r="ED307" s="2"/>
      <c r="EE307" s="63"/>
      <c r="EF307" s="63"/>
      <c r="EG307" s="63"/>
      <c r="EH307" s="63"/>
      <c r="EI307" s="63"/>
      <c r="EJ307" s="63"/>
      <c r="EK307" s="63"/>
      <c r="EL307" s="63"/>
      <c r="EM307" s="63"/>
      <c r="EN307" s="63"/>
      <c r="EO307" s="63"/>
      <c r="EP307" s="63"/>
      <c r="EQ307" s="63"/>
      <c r="ER307" s="63"/>
      <c r="ES307" s="63"/>
      <c r="ET307" s="63"/>
      <c r="EU307" s="80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5"/>
      <c r="FH307" s="84"/>
      <c r="FI307" s="64"/>
      <c r="FJ307" s="8"/>
      <c r="FK307" s="48"/>
      <c r="FL307" s="48"/>
      <c r="FM307" s="48"/>
      <c r="FN307" s="48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8"/>
      <c r="GG307" s="48"/>
      <c r="GH307" s="48"/>
      <c r="GI307" s="48"/>
      <c r="GJ307" s="8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77"/>
      <c r="GY307" s="77"/>
      <c r="GZ307" s="77"/>
    </row>
    <row r="308" spans="1:208">
      <c r="A308" s="48"/>
      <c r="B308" s="49"/>
      <c r="C308" s="50"/>
      <c r="D308" s="51"/>
      <c r="E308" s="50"/>
      <c r="F308" s="52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90"/>
      <c r="V308" s="91"/>
      <c r="W308" s="92"/>
      <c r="X308" s="92"/>
      <c r="Y308" s="92"/>
      <c r="Z308" s="91"/>
      <c r="AA308" s="93"/>
      <c r="AB308" s="99"/>
      <c r="AC308" s="54"/>
      <c r="AD308" s="54"/>
      <c r="AE308" s="54"/>
      <c r="AF308" s="54"/>
      <c r="AG308" s="54"/>
      <c r="AH308" s="54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113"/>
      <c r="BB308" s="110"/>
      <c r="BC308" s="110"/>
      <c r="BD308" s="110"/>
      <c r="BE308" s="110"/>
      <c r="BF308" s="110"/>
      <c r="BG308" s="110"/>
      <c r="BH308" s="110"/>
      <c r="BI308" s="113"/>
      <c r="BJ308" s="110"/>
      <c r="BK308" s="110"/>
      <c r="BL308" s="110"/>
      <c r="BM308" s="110"/>
      <c r="BN308" s="113"/>
      <c r="BO308" s="110"/>
      <c r="BP308" s="110"/>
      <c r="BQ308" s="110"/>
      <c r="BR308" s="110"/>
      <c r="BS308" s="110"/>
      <c r="BT308" s="110"/>
      <c r="BU308" s="110"/>
      <c r="BV308" s="110"/>
      <c r="BW308" s="110"/>
      <c r="BX308" s="113"/>
      <c r="BY308" s="110"/>
      <c r="BZ308" s="110"/>
      <c r="CA308" s="110"/>
      <c r="CB308" s="110"/>
      <c r="CC308" s="110"/>
      <c r="CD308" s="110"/>
      <c r="CE308" s="110"/>
      <c r="CF308" s="110"/>
      <c r="CG308" s="113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66"/>
      <c r="DA308" s="70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56"/>
      <c r="DR308" s="57"/>
      <c r="DS308" s="58"/>
      <c r="DT308" s="58"/>
      <c r="DU308" s="58"/>
      <c r="DV308" s="58"/>
      <c r="DW308" s="58"/>
      <c r="DX308" s="58"/>
      <c r="DY308" s="58"/>
      <c r="DZ308" s="59"/>
      <c r="EA308" s="60"/>
      <c r="EB308" s="61"/>
      <c r="EC308" s="62"/>
      <c r="ED308" s="2"/>
      <c r="EE308" s="63"/>
      <c r="EF308" s="63"/>
      <c r="EG308" s="63"/>
      <c r="EH308" s="63"/>
      <c r="EI308" s="63"/>
      <c r="EJ308" s="63"/>
      <c r="EK308" s="63"/>
      <c r="EL308" s="63"/>
      <c r="EM308" s="63"/>
      <c r="EN308" s="63"/>
      <c r="EO308" s="63"/>
      <c r="EP308" s="63"/>
      <c r="EQ308" s="63"/>
      <c r="ER308" s="63"/>
      <c r="ES308" s="63"/>
      <c r="ET308" s="63"/>
      <c r="EU308" s="80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5"/>
      <c r="FH308" s="84"/>
      <c r="FI308" s="64"/>
      <c r="FJ308" s="8"/>
      <c r="FK308" s="48"/>
      <c r="FL308" s="48"/>
      <c r="FM308" s="48"/>
      <c r="FN308" s="48"/>
      <c r="FO308" s="48"/>
      <c r="FP308" s="48"/>
      <c r="FQ308" s="48"/>
      <c r="FR308" s="48"/>
      <c r="FS308" s="48"/>
      <c r="FT308" s="48"/>
      <c r="FU308" s="48"/>
      <c r="FV308" s="48"/>
      <c r="FW308" s="48"/>
      <c r="FX308" s="48"/>
      <c r="FY308" s="48"/>
      <c r="FZ308" s="48"/>
      <c r="GA308" s="48"/>
      <c r="GB308" s="48"/>
      <c r="GC308" s="48"/>
      <c r="GD308" s="48"/>
      <c r="GE308" s="48"/>
      <c r="GF308" s="48"/>
      <c r="GG308" s="48"/>
      <c r="GH308" s="48"/>
      <c r="GI308" s="48"/>
      <c r="GJ308" s="8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77"/>
      <c r="GY308" s="77"/>
      <c r="GZ308" s="77"/>
    </row>
    <row r="309" spans="1:208">
      <c r="A309" s="48"/>
      <c r="B309" s="49"/>
      <c r="C309" s="50"/>
      <c r="D309" s="51"/>
      <c r="E309" s="50"/>
      <c r="F309" s="52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90"/>
      <c r="V309" s="91"/>
      <c r="W309" s="92"/>
      <c r="X309" s="92"/>
      <c r="Y309" s="92"/>
      <c r="Z309" s="91"/>
      <c r="AA309" s="93"/>
      <c r="AB309" s="99"/>
      <c r="AC309" s="54"/>
      <c r="AD309" s="54"/>
      <c r="AE309" s="54"/>
      <c r="AF309" s="54"/>
      <c r="AG309" s="54"/>
      <c r="AH309" s="54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113"/>
      <c r="BB309" s="110"/>
      <c r="BC309" s="110"/>
      <c r="BD309" s="110"/>
      <c r="BE309" s="110"/>
      <c r="BF309" s="110"/>
      <c r="BG309" s="110"/>
      <c r="BH309" s="110"/>
      <c r="BI309" s="113"/>
      <c r="BJ309" s="110"/>
      <c r="BK309" s="110"/>
      <c r="BL309" s="110"/>
      <c r="BM309" s="110"/>
      <c r="BN309" s="113"/>
      <c r="BO309" s="110"/>
      <c r="BP309" s="110"/>
      <c r="BQ309" s="110"/>
      <c r="BR309" s="110"/>
      <c r="BS309" s="110"/>
      <c r="BT309" s="110"/>
      <c r="BU309" s="110"/>
      <c r="BV309" s="110"/>
      <c r="BW309" s="110"/>
      <c r="BX309" s="113"/>
      <c r="BY309" s="110"/>
      <c r="BZ309" s="110"/>
      <c r="CA309" s="110"/>
      <c r="CB309" s="110"/>
      <c r="CC309" s="110"/>
      <c r="CD309" s="110"/>
      <c r="CE309" s="110"/>
      <c r="CF309" s="110"/>
      <c r="CG309" s="113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66"/>
      <c r="DA309" s="70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56"/>
      <c r="DR309" s="57"/>
      <c r="DS309" s="58"/>
      <c r="DT309" s="58"/>
      <c r="DU309" s="58"/>
      <c r="DV309" s="58"/>
      <c r="DW309" s="58"/>
      <c r="DX309" s="58"/>
      <c r="DY309" s="58"/>
      <c r="DZ309" s="59"/>
      <c r="EA309" s="60"/>
      <c r="EB309" s="61"/>
      <c r="EC309" s="62"/>
      <c r="ED309" s="2"/>
      <c r="EE309" s="63"/>
      <c r="EF309" s="63"/>
      <c r="EG309" s="63"/>
      <c r="EH309" s="63"/>
      <c r="EI309" s="63"/>
      <c r="EJ309" s="63"/>
      <c r="EK309" s="63"/>
      <c r="EL309" s="63"/>
      <c r="EM309" s="63"/>
      <c r="EN309" s="63"/>
      <c r="EO309" s="63"/>
      <c r="EP309" s="63"/>
      <c r="EQ309" s="63"/>
      <c r="ER309" s="63"/>
      <c r="ES309" s="63"/>
      <c r="ET309" s="63"/>
      <c r="EU309" s="80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5"/>
      <c r="FH309" s="84"/>
      <c r="FI309" s="64"/>
      <c r="FJ309" s="8"/>
      <c r="FK309" s="48"/>
      <c r="FL309" s="48"/>
      <c r="FM309" s="48"/>
      <c r="FN309" s="48"/>
      <c r="FO309" s="48"/>
      <c r="FP309" s="48"/>
      <c r="FQ309" s="48"/>
      <c r="FR309" s="48"/>
      <c r="FS309" s="48"/>
      <c r="FT309" s="48"/>
      <c r="FU309" s="48"/>
      <c r="FV309" s="48"/>
      <c r="FW309" s="48"/>
      <c r="FX309" s="48"/>
      <c r="FY309" s="48"/>
      <c r="FZ309" s="48"/>
      <c r="GA309" s="48"/>
      <c r="GB309" s="48"/>
      <c r="GC309" s="48"/>
      <c r="GD309" s="48"/>
      <c r="GE309" s="48"/>
      <c r="GF309" s="48"/>
      <c r="GG309" s="48"/>
      <c r="GH309" s="48"/>
      <c r="GI309" s="48"/>
      <c r="GJ309" s="8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77"/>
      <c r="GY309" s="77"/>
      <c r="GZ309" s="77"/>
    </row>
    <row r="310" spans="1:208">
      <c r="A310" s="48"/>
      <c r="B310" s="49"/>
      <c r="C310" s="50"/>
      <c r="D310" s="51"/>
      <c r="E310" s="50"/>
      <c r="F310" s="52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90"/>
      <c r="V310" s="91"/>
      <c r="W310" s="92"/>
      <c r="X310" s="92"/>
      <c r="Y310" s="92"/>
      <c r="Z310" s="91"/>
      <c r="AA310" s="93"/>
      <c r="AB310" s="99"/>
      <c r="AC310" s="54"/>
      <c r="AD310" s="54"/>
      <c r="AE310" s="54"/>
      <c r="AF310" s="54"/>
      <c r="AG310" s="54"/>
      <c r="AH310" s="54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113"/>
      <c r="BB310" s="110"/>
      <c r="BC310" s="110"/>
      <c r="BD310" s="110"/>
      <c r="BE310" s="110"/>
      <c r="BF310" s="110"/>
      <c r="BG310" s="110"/>
      <c r="BH310" s="110"/>
      <c r="BI310" s="113"/>
      <c r="BJ310" s="110"/>
      <c r="BK310" s="110"/>
      <c r="BL310" s="110"/>
      <c r="BM310" s="110"/>
      <c r="BN310" s="113"/>
      <c r="BO310" s="110"/>
      <c r="BP310" s="110"/>
      <c r="BQ310" s="110"/>
      <c r="BR310" s="110"/>
      <c r="BS310" s="110"/>
      <c r="BT310" s="110"/>
      <c r="BU310" s="110"/>
      <c r="BV310" s="110"/>
      <c r="BW310" s="110"/>
      <c r="BX310" s="113"/>
      <c r="BY310" s="110"/>
      <c r="BZ310" s="110"/>
      <c r="CA310" s="110"/>
      <c r="CB310" s="110"/>
      <c r="CC310" s="110"/>
      <c r="CD310" s="110"/>
      <c r="CE310" s="110"/>
      <c r="CF310" s="110"/>
      <c r="CG310" s="113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66"/>
      <c r="DA310" s="70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56"/>
      <c r="DR310" s="57"/>
      <c r="DS310" s="58"/>
      <c r="DT310" s="58"/>
      <c r="DU310" s="58"/>
      <c r="DV310" s="58"/>
      <c r="DW310" s="58"/>
      <c r="DX310" s="58"/>
      <c r="DY310" s="58"/>
      <c r="DZ310" s="59"/>
      <c r="EA310" s="60"/>
      <c r="EB310" s="61"/>
      <c r="EC310" s="62"/>
      <c r="ED310" s="2"/>
      <c r="EE310" s="63"/>
      <c r="EF310" s="63"/>
      <c r="EG310" s="63"/>
      <c r="EH310" s="63"/>
      <c r="EI310" s="63"/>
      <c r="EJ310" s="63"/>
      <c r="EK310" s="63"/>
      <c r="EL310" s="63"/>
      <c r="EM310" s="63"/>
      <c r="EN310" s="63"/>
      <c r="EO310" s="63"/>
      <c r="EP310" s="63"/>
      <c r="EQ310" s="63"/>
      <c r="ER310" s="63"/>
      <c r="ES310" s="63"/>
      <c r="ET310" s="63"/>
      <c r="EU310" s="80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5"/>
      <c r="FH310" s="84"/>
      <c r="FI310" s="64"/>
      <c r="FJ310" s="8"/>
      <c r="FK310" s="48"/>
      <c r="FL310" s="48"/>
      <c r="FM310" s="48"/>
      <c r="FN310" s="48"/>
      <c r="FO310" s="48"/>
      <c r="FP310" s="48"/>
      <c r="FQ310" s="48"/>
      <c r="FR310" s="48"/>
      <c r="FS310" s="48"/>
      <c r="FT310" s="48"/>
      <c r="FU310" s="48"/>
      <c r="FV310" s="48"/>
      <c r="FW310" s="48"/>
      <c r="FX310" s="48"/>
      <c r="FY310" s="48"/>
      <c r="FZ310" s="48"/>
      <c r="GA310" s="48"/>
      <c r="GB310" s="48"/>
      <c r="GC310" s="48"/>
      <c r="GD310" s="48"/>
      <c r="GE310" s="48"/>
      <c r="GF310" s="48"/>
      <c r="GG310" s="48"/>
      <c r="GH310" s="48"/>
      <c r="GI310" s="48"/>
      <c r="GJ310" s="8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77"/>
      <c r="GY310" s="77"/>
      <c r="GZ310" s="77"/>
    </row>
    <row r="311" spans="1:208">
      <c r="A311" s="48"/>
      <c r="B311" s="49"/>
      <c r="C311" s="50"/>
      <c r="D311" s="51"/>
      <c r="E311" s="50"/>
      <c r="F311" s="52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90"/>
      <c r="V311" s="91"/>
      <c r="W311" s="92"/>
      <c r="X311" s="92"/>
      <c r="Y311" s="92"/>
      <c r="Z311" s="91"/>
      <c r="AA311" s="93"/>
      <c r="AB311" s="99"/>
      <c r="AC311" s="54"/>
      <c r="AD311" s="54"/>
      <c r="AE311" s="54"/>
      <c r="AF311" s="54"/>
      <c r="AG311" s="54"/>
      <c r="AH311" s="54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113"/>
      <c r="BB311" s="110"/>
      <c r="BC311" s="110"/>
      <c r="BD311" s="110"/>
      <c r="BE311" s="110"/>
      <c r="BF311" s="110"/>
      <c r="BG311" s="110"/>
      <c r="BH311" s="110"/>
      <c r="BI311" s="113"/>
      <c r="BJ311" s="110"/>
      <c r="BK311" s="110"/>
      <c r="BL311" s="110"/>
      <c r="BM311" s="110"/>
      <c r="BN311" s="113"/>
      <c r="BO311" s="110"/>
      <c r="BP311" s="110"/>
      <c r="BQ311" s="110"/>
      <c r="BR311" s="110"/>
      <c r="BS311" s="110"/>
      <c r="BT311" s="110"/>
      <c r="BU311" s="110"/>
      <c r="BV311" s="110"/>
      <c r="BW311" s="110"/>
      <c r="BX311" s="113"/>
      <c r="BY311" s="110"/>
      <c r="BZ311" s="110"/>
      <c r="CA311" s="110"/>
      <c r="CB311" s="110"/>
      <c r="CC311" s="110"/>
      <c r="CD311" s="110"/>
      <c r="CE311" s="110"/>
      <c r="CF311" s="110"/>
      <c r="CG311" s="113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66"/>
      <c r="DA311" s="70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56"/>
      <c r="DR311" s="57"/>
      <c r="DS311" s="58"/>
      <c r="DT311" s="58"/>
      <c r="DU311" s="58"/>
      <c r="DV311" s="58"/>
      <c r="DW311" s="58"/>
      <c r="DX311" s="58"/>
      <c r="DY311" s="58"/>
      <c r="DZ311" s="59"/>
      <c r="EA311" s="60"/>
      <c r="EB311" s="61"/>
      <c r="EC311" s="62"/>
      <c r="ED311" s="2"/>
      <c r="EE311" s="63"/>
      <c r="EF311" s="63"/>
      <c r="EG311" s="63"/>
      <c r="EH311" s="63"/>
      <c r="EI311" s="63"/>
      <c r="EJ311" s="63"/>
      <c r="EK311" s="63"/>
      <c r="EL311" s="63"/>
      <c r="EM311" s="63"/>
      <c r="EN311" s="63"/>
      <c r="EO311" s="63"/>
      <c r="EP311" s="63"/>
      <c r="EQ311" s="63"/>
      <c r="ER311" s="63"/>
      <c r="ES311" s="63"/>
      <c r="ET311" s="63"/>
      <c r="EU311" s="80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5"/>
      <c r="FH311" s="84"/>
      <c r="FI311" s="64"/>
      <c r="FJ311" s="8"/>
      <c r="FK311" s="48"/>
      <c r="FL311" s="48"/>
      <c r="FM311" s="48"/>
      <c r="FN311" s="48"/>
      <c r="FO311" s="48"/>
      <c r="FP311" s="48"/>
      <c r="FQ311" s="48"/>
      <c r="FR311" s="48"/>
      <c r="FS311" s="48"/>
      <c r="FT311" s="48"/>
      <c r="FU311" s="48"/>
      <c r="FV311" s="48"/>
      <c r="FW311" s="48"/>
      <c r="FX311" s="48"/>
      <c r="FY311" s="48"/>
      <c r="FZ311" s="48"/>
      <c r="GA311" s="48"/>
      <c r="GB311" s="48"/>
      <c r="GC311" s="48"/>
      <c r="GD311" s="48"/>
      <c r="GE311" s="48"/>
      <c r="GF311" s="48"/>
      <c r="GG311" s="48"/>
      <c r="GH311" s="48"/>
      <c r="GI311" s="48"/>
      <c r="GJ311" s="8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77"/>
      <c r="GY311" s="77"/>
      <c r="GZ311" s="77"/>
    </row>
    <row r="312" spans="1:208">
      <c r="A312" s="48"/>
      <c r="B312" s="49"/>
      <c r="C312" s="50"/>
      <c r="D312" s="51"/>
      <c r="E312" s="50"/>
      <c r="F312" s="52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90"/>
      <c r="V312" s="91"/>
      <c r="W312" s="92"/>
      <c r="X312" s="92"/>
      <c r="Y312" s="92"/>
      <c r="Z312" s="91"/>
      <c r="AA312" s="93"/>
      <c r="AB312" s="99"/>
      <c r="AC312" s="54"/>
      <c r="AD312" s="54"/>
      <c r="AE312" s="54"/>
      <c r="AF312" s="54"/>
      <c r="AG312" s="54"/>
      <c r="AH312" s="54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113"/>
      <c r="BB312" s="110"/>
      <c r="BC312" s="110"/>
      <c r="BD312" s="110"/>
      <c r="BE312" s="110"/>
      <c r="BF312" s="110"/>
      <c r="BG312" s="110"/>
      <c r="BH312" s="110"/>
      <c r="BI312" s="113"/>
      <c r="BJ312" s="110"/>
      <c r="BK312" s="110"/>
      <c r="BL312" s="110"/>
      <c r="BM312" s="110"/>
      <c r="BN312" s="113"/>
      <c r="BO312" s="110"/>
      <c r="BP312" s="110"/>
      <c r="BQ312" s="110"/>
      <c r="BR312" s="110"/>
      <c r="BS312" s="110"/>
      <c r="BT312" s="110"/>
      <c r="BU312" s="110"/>
      <c r="BV312" s="110"/>
      <c r="BW312" s="110"/>
      <c r="BX312" s="113"/>
      <c r="BY312" s="110"/>
      <c r="BZ312" s="110"/>
      <c r="CA312" s="110"/>
      <c r="CB312" s="110"/>
      <c r="CC312" s="110"/>
      <c r="CD312" s="110"/>
      <c r="CE312" s="110"/>
      <c r="CF312" s="110"/>
      <c r="CG312" s="113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66"/>
      <c r="DA312" s="70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56"/>
      <c r="DR312" s="57"/>
      <c r="DS312" s="58"/>
      <c r="DT312" s="58"/>
      <c r="DU312" s="58"/>
      <c r="DV312" s="58"/>
      <c r="DW312" s="58"/>
      <c r="DX312" s="58"/>
      <c r="DY312" s="58"/>
      <c r="DZ312" s="59"/>
      <c r="EA312" s="60"/>
      <c r="EB312" s="61"/>
      <c r="EC312" s="62"/>
      <c r="ED312" s="2"/>
      <c r="EE312" s="63"/>
      <c r="EF312" s="63"/>
      <c r="EG312" s="63"/>
      <c r="EH312" s="63"/>
      <c r="EI312" s="63"/>
      <c r="EJ312" s="63"/>
      <c r="EK312" s="63"/>
      <c r="EL312" s="63"/>
      <c r="EM312" s="63"/>
      <c r="EN312" s="63"/>
      <c r="EO312" s="63"/>
      <c r="EP312" s="63"/>
      <c r="EQ312" s="63"/>
      <c r="ER312" s="63"/>
      <c r="ES312" s="63"/>
      <c r="ET312" s="63"/>
      <c r="EU312" s="80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5"/>
      <c r="FH312" s="84"/>
      <c r="FI312" s="64"/>
      <c r="FJ312" s="8"/>
      <c r="FK312" s="48"/>
      <c r="FL312" s="48"/>
      <c r="FM312" s="48"/>
      <c r="FN312" s="48"/>
      <c r="FO312" s="48"/>
      <c r="FP312" s="48"/>
      <c r="FQ312" s="48"/>
      <c r="FR312" s="48"/>
      <c r="FS312" s="48"/>
      <c r="FT312" s="48"/>
      <c r="FU312" s="48"/>
      <c r="FV312" s="48"/>
      <c r="FW312" s="48"/>
      <c r="FX312" s="48"/>
      <c r="FY312" s="48"/>
      <c r="FZ312" s="48"/>
      <c r="GA312" s="48"/>
      <c r="GB312" s="48"/>
      <c r="GC312" s="48"/>
      <c r="GD312" s="48"/>
      <c r="GE312" s="48"/>
      <c r="GF312" s="48"/>
      <c r="GG312" s="48"/>
      <c r="GH312" s="48"/>
      <c r="GI312" s="48"/>
      <c r="GJ312" s="8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77"/>
      <c r="GY312" s="77"/>
      <c r="GZ312" s="77"/>
    </row>
    <row r="313" spans="1:208">
      <c r="A313" s="48"/>
      <c r="B313" s="49"/>
      <c r="C313" s="50"/>
      <c r="D313" s="51"/>
      <c r="E313" s="50"/>
      <c r="F313" s="52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90"/>
      <c r="V313" s="91"/>
      <c r="W313" s="92"/>
      <c r="X313" s="92"/>
      <c r="Y313" s="92"/>
      <c r="Z313" s="91"/>
      <c r="AA313" s="93"/>
      <c r="AB313" s="99"/>
      <c r="AC313" s="54"/>
      <c r="AD313" s="54"/>
      <c r="AE313" s="54"/>
      <c r="AF313" s="54"/>
      <c r="AG313" s="54"/>
      <c r="AH313" s="54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113"/>
      <c r="BB313" s="110"/>
      <c r="BC313" s="110"/>
      <c r="BD313" s="110"/>
      <c r="BE313" s="110"/>
      <c r="BF313" s="110"/>
      <c r="BG313" s="110"/>
      <c r="BH313" s="110"/>
      <c r="BI313" s="113"/>
      <c r="BJ313" s="110"/>
      <c r="BK313" s="110"/>
      <c r="BL313" s="110"/>
      <c r="BM313" s="110"/>
      <c r="BN313" s="113"/>
      <c r="BO313" s="110"/>
      <c r="BP313" s="110"/>
      <c r="BQ313" s="110"/>
      <c r="BR313" s="110"/>
      <c r="BS313" s="110"/>
      <c r="BT313" s="110"/>
      <c r="BU313" s="110"/>
      <c r="BV313" s="110"/>
      <c r="BW313" s="110"/>
      <c r="BX313" s="113"/>
      <c r="BY313" s="110"/>
      <c r="BZ313" s="110"/>
      <c r="CA313" s="110"/>
      <c r="CB313" s="110"/>
      <c r="CC313" s="110"/>
      <c r="CD313" s="110"/>
      <c r="CE313" s="110"/>
      <c r="CF313" s="110"/>
      <c r="CG313" s="113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66"/>
      <c r="DA313" s="70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56"/>
      <c r="DR313" s="57"/>
      <c r="DS313" s="58"/>
      <c r="DT313" s="58"/>
      <c r="DU313" s="58"/>
      <c r="DV313" s="58"/>
      <c r="DW313" s="58"/>
      <c r="DX313" s="58"/>
      <c r="DY313" s="58"/>
      <c r="DZ313" s="59"/>
      <c r="EA313" s="60"/>
      <c r="EB313" s="61"/>
      <c r="EC313" s="62"/>
      <c r="ED313" s="2"/>
      <c r="EE313" s="63"/>
      <c r="EF313" s="63"/>
      <c r="EG313" s="63"/>
      <c r="EH313" s="63"/>
      <c r="EI313" s="63"/>
      <c r="EJ313" s="63"/>
      <c r="EK313" s="63"/>
      <c r="EL313" s="63"/>
      <c r="EM313" s="63"/>
      <c r="EN313" s="63"/>
      <c r="EO313" s="63"/>
      <c r="EP313" s="63"/>
      <c r="EQ313" s="63"/>
      <c r="ER313" s="63"/>
      <c r="ES313" s="63"/>
      <c r="ET313" s="63"/>
      <c r="EU313" s="80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5"/>
      <c r="FH313" s="84"/>
      <c r="FI313" s="64"/>
      <c r="FJ313" s="8"/>
      <c r="FK313" s="48"/>
      <c r="FL313" s="48"/>
      <c r="FM313" s="48"/>
      <c r="FN313" s="48"/>
      <c r="FO313" s="48"/>
      <c r="FP313" s="48"/>
      <c r="FQ313" s="48"/>
      <c r="FR313" s="48"/>
      <c r="FS313" s="48"/>
      <c r="FT313" s="48"/>
      <c r="FU313" s="48"/>
      <c r="FV313" s="48"/>
      <c r="FW313" s="48"/>
      <c r="FX313" s="48"/>
      <c r="FY313" s="48"/>
      <c r="FZ313" s="48"/>
      <c r="GA313" s="48"/>
      <c r="GB313" s="48"/>
      <c r="GC313" s="48"/>
      <c r="GD313" s="48"/>
      <c r="GE313" s="48"/>
      <c r="GF313" s="48"/>
      <c r="GG313" s="48"/>
      <c r="GH313" s="48"/>
      <c r="GI313" s="48"/>
      <c r="GJ313" s="8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77"/>
      <c r="GY313" s="77"/>
      <c r="GZ313" s="77"/>
    </row>
    <row r="314" spans="1:208">
      <c r="A314" s="48"/>
      <c r="B314" s="49"/>
      <c r="C314" s="50"/>
      <c r="D314" s="51"/>
      <c r="E314" s="50"/>
      <c r="F314" s="52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90"/>
      <c r="V314" s="91"/>
      <c r="W314" s="92"/>
      <c r="X314" s="92"/>
      <c r="Y314" s="92"/>
      <c r="Z314" s="91"/>
      <c r="AA314" s="93"/>
      <c r="AB314" s="99"/>
      <c r="AC314" s="54"/>
      <c r="AD314" s="54"/>
      <c r="AE314" s="54"/>
      <c r="AF314" s="54"/>
      <c r="AG314" s="54"/>
      <c r="AH314" s="54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113"/>
      <c r="BB314" s="110"/>
      <c r="BC314" s="110"/>
      <c r="BD314" s="110"/>
      <c r="BE314" s="110"/>
      <c r="BF314" s="110"/>
      <c r="BG314" s="110"/>
      <c r="BH314" s="110"/>
      <c r="BI314" s="113"/>
      <c r="BJ314" s="110"/>
      <c r="BK314" s="110"/>
      <c r="BL314" s="110"/>
      <c r="BM314" s="110"/>
      <c r="BN314" s="113"/>
      <c r="BO314" s="110"/>
      <c r="BP314" s="110"/>
      <c r="BQ314" s="110"/>
      <c r="BR314" s="110"/>
      <c r="BS314" s="110"/>
      <c r="BT314" s="110"/>
      <c r="BU314" s="110"/>
      <c r="BV314" s="110"/>
      <c r="BW314" s="110"/>
      <c r="BX314" s="113"/>
      <c r="BY314" s="110"/>
      <c r="BZ314" s="110"/>
      <c r="CA314" s="110"/>
      <c r="CB314" s="110"/>
      <c r="CC314" s="110"/>
      <c r="CD314" s="110"/>
      <c r="CE314" s="110"/>
      <c r="CF314" s="110"/>
      <c r="CG314" s="113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66"/>
      <c r="DA314" s="70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56"/>
      <c r="DR314" s="57"/>
      <c r="DS314" s="58"/>
      <c r="DT314" s="58"/>
      <c r="DU314" s="58"/>
      <c r="DV314" s="58"/>
      <c r="DW314" s="58"/>
      <c r="DX314" s="58"/>
      <c r="DY314" s="58"/>
      <c r="DZ314" s="59"/>
      <c r="EA314" s="60"/>
      <c r="EB314" s="61"/>
      <c r="EC314" s="62"/>
      <c r="ED314" s="2"/>
      <c r="EE314" s="63"/>
      <c r="EF314" s="63"/>
      <c r="EG314" s="63"/>
      <c r="EH314" s="63"/>
      <c r="EI314" s="63"/>
      <c r="EJ314" s="63"/>
      <c r="EK314" s="63"/>
      <c r="EL314" s="63"/>
      <c r="EM314" s="63"/>
      <c r="EN314" s="63"/>
      <c r="EO314" s="63"/>
      <c r="EP314" s="63"/>
      <c r="EQ314" s="63"/>
      <c r="ER314" s="63"/>
      <c r="ES314" s="63"/>
      <c r="ET314" s="63"/>
      <c r="EU314" s="80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5"/>
      <c r="FH314" s="84"/>
      <c r="FI314" s="64"/>
      <c r="FJ314" s="8"/>
      <c r="FK314" s="48"/>
      <c r="FL314" s="48"/>
      <c r="FM314" s="48"/>
      <c r="FN314" s="48"/>
      <c r="FO314" s="48"/>
      <c r="FP314" s="48"/>
      <c r="FQ314" s="48"/>
      <c r="FR314" s="48"/>
      <c r="FS314" s="48"/>
      <c r="FT314" s="48"/>
      <c r="FU314" s="48"/>
      <c r="FV314" s="48"/>
      <c r="FW314" s="48"/>
      <c r="FX314" s="48"/>
      <c r="FY314" s="48"/>
      <c r="FZ314" s="48"/>
      <c r="GA314" s="48"/>
      <c r="GB314" s="48"/>
      <c r="GC314" s="48"/>
      <c r="GD314" s="48"/>
      <c r="GE314" s="48"/>
      <c r="GF314" s="48"/>
      <c r="GG314" s="48"/>
      <c r="GH314" s="48"/>
      <c r="GI314" s="48"/>
      <c r="GJ314" s="8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77"/>
      <c r="GY314" s="77"/>
      <c r="GZ314" s="77"/>
    </row>
    <row r="315" spans="1:208">
      <c r="A315" s="48"/>
      <c r="B315" s="49"/>
      <c r="C315" s="50"/>
      <c r="D315" s="51"/>
      <c r="E315" s="50"/>
      <c r="F315" s="52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90"/>
      <c r="V315" s="91"/>
      <c r="W315" s="92"/>
      <c r="X315" s="92"/>
      <c r="Y315" s="92"/>
      <c r="Z315" s="91"/>
      <c r="AA315" s="93"/>
      <c r="AB315" s="99"/>
      <c r="AC315" s="54"/>
      <c r="AD315" s="54"/>
      <c r="AE315" s="54"/>
      <c r="AF315" s="54"/>
      <c r="AG315" s="54"/>
      <c r="AH315" s="54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113"/>
      <c r="BB315" s="110"/>
      <c r="BC315" s="110"/>
      <c r="BD315" s="110"/>
      <c r="BE315" s="110"/>
      <c r="BF315" s="110"/>
      <c r="BG315" s="110"/>
      <c r="BH315" s="110"/>
      <c r="BI315" s="113"/>
      <c r="BJ315" s="110"/>
      <c r="BK315" s="110"/>
      <c r="BL315" s="110"/>
      <c r="BM315" s="110"/>
      <c r="BN315" s="113"/>
      <c r="BO315" s="110"/>
      <c r="BP315" s="110"/>
      <c r="BQ315" s="110"/>
      <c r="BR315" s="110"/>
      <c r="BS315" s="110"/>
      <c r="BT315" s="110"/>
      <c r="BU315" s="110"/>
      <c r="BV315" s="110"/>
      <c r="BW315" s="110"/>
      <c r="BX315" s="113"/>
      <c r="BY315" s="110"/>
      <c r="BZ315" s="110"/>
      <c r="CA315" s="110"/>
      <c r="CB315" s="110"/>
      <c r="CC315" s="110"/>
      <c r="CD315" s="110"/>
      <c r="CE315" s="110"/>
      <c r="CF315" s="110"/>
      <c r="CG315" s="113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66"/>
      <c r="DA315" s="70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56"/>
      <c r="DR315" s="57"/>
      <c r="DS315" s="58"/>
      <c r="DT315" s="58"/>
      <c r="DU315" s="58"/>
      <c r="DV315" s="58"/>
      <c r="DW315" s="58"/>
      <c r="DX315" s="58"/>
      <c r="DY315" s="58"/>
      <c r="DZ315" s="59"/>
      <c r="EA315" s="60"/>
      <c r="EB315" s="61"/>
      <c r="EC315" s="62"/>
      <c r="ED315" s="2"/>
      <c r="EE315" s="63"/>
      <c r="EF315" s="63"/>
      <c r="EG315" s="63"/>
      <c r="EH315" s="63"/>
      <c r="EI315" s="63"/>
      <c r="EJ315" s="63"/>
      <c r="EK315" s="63"/>
      <c r="EL315" s="63"/>
      <c r="EM315" s="63"/>
      <c r="EN315" s="63"/>
      <c r="EO315" s="63"/>
      <c r="EP315" s="63"/>
      <c r="EQ315" s="63"/>
      <c r="ER315" s="63"/>
      <c r="ES315" s="63"/>
      <c r="ET315" s="63"/>
      <c r="EU315" s="80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5"/>
      <c r="FH315" s="84"/>
      <c r="FI315" s="64"/>
      <c r="FJ315" s="8"/>
      <c r="FK315" s="48"/>
      <c r="FL315" s="48"/>
      <c r="FM315" s="48"/>
      <c r="FN315" s="48"/>
      <c r="FO315" s="48"/>
      <c r="FP315" s="48"/>
      <c r="FQ315" s="48"/>
      <c r="FR315" s="48"/>
      <c r="FS315" s="48"/>
      <c r="FT315" s="48"/>
      <c r="FU315" s="48"/>
      <c r="FV315" s="48"/>
      <c r="FW315" s="48"/>
      <c r="FX315" s="48"/>
      <c r="FY315" s="48"/>
      <c r="FZ315" s="48"/>
      <c r="GA315" s="48"/>
      <c r="GB315" s="48"/>
      <c r="GC315" s="48"/>
      <c r="GD315" s="48"/>
      <c r="GE315" s="48"/>
      <c r="GF315" s="48"/>
      <c r="GG315" s="48"/>
      <c r="GH315" s="48"/>
      <c r="GI315" s="48"/>
      <c r="GJ315" s="8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77"/>
      <c r="GY315" s="77"/>
      <c r="GZ315" s="77"/>
    </row>
    <row r="316" spans="1:208">
      <c r="A316" s="48"/>
      <c r="B316" s="49"/>
      <c r="C316" s="50"/>
      <c r="D316" s="51"/>
      <c r="E316" s="50"/>
      <c r="F316" s="52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90"/>
      <c r="V316" s="91"/>
      <c r="W316" s="92"/>
      <c r="X316" s="92"/>
      <c r="Y316" s="92"/>
      <c r="Z316" s="91"/>
      <c r="AA316" s="93"/>
      <c r="AB316" s="99"/>
      <c r="AC316" s="54"/>
      <c r="AD316" s="54"/>
      <c r="AE316" s="54"/>
      <c r="AF316" s="54"/>
      <c r="AG316" s="54"/>
      <c r="AH316" s="54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113"/>
      <c r="BB316" s="110"/>
      <c r="BC316" s="110"/>
      <c r="BD316" s="110"/>
      <c r="BE316" s="110"/>
      <c r="BF316" s="110"/>
      <c r="BG316" s="110"/>
      <c r="BH316" s="110"/>
      <c r="BI316" s="113"/>
      <c r="BJ316" s="110"/>
      <c r="BK316" s="110"/>
      <c r="BL316" s="110"/>
      <c r="BM316" s="110"/>
      <c r="BN316" s="113"/>
      <c r="BO316" s="110"/>
      <c r="BP316" s="110"/>
      <c r="BQ316" s="110"/>
      <c r="BR316" s="110"/>
      <c r="BS316" s="110"/>
      <c r="BT316" s="110"/>
      <c r="BU316" s="110"/>
      <c r="BV316" s="110"/>
      <c r="BW316" s="110"/>
      <c r="BX316" s="113"/>
      <c r="BY316" s="110"/>
      <c r="BZ316" s="110"/>
      <c r="CA316" s="110"/>
      <c r="CB316" s="110"/>
      <c r="CC316" s="110"/>
      <c r="CD316" s="110"/>
      <c r="CE316" s="110"/>
      <c r="CF316" s="110"/>
      <c r="CG316" s="113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66"/>
      <c r="DA316" s="70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56"/>
      <c r="DR316" s="57"/>
      <c r="DS316" s="58"/>
      <c r="DT316" s="58"/>
      <c r="DU316" s="58"/>
      <c r="DV316" s="58"/>
      <c r="DW316" s="58"/>
      <c r="DX316" s="58"/>
      <c r="DY316" s="58"/>
      <c r="DZ316" s="59"/>
      <c r="EA316" s="60"/>
      <c r="EB316" s="61"/>
      <c r="EC316" s="62"/>
      <c r="ED316" s="2"/>
      <c r="EE316" s="63"/>
      <c r="EF316" s="63"/>
      <c r="EG316" s="63"/>
      <c r="EH316" s="63"/>
      <c r="EI316" s="63"/>
      <c r="EJ316" s="63"/>
      <c r="EK316" s="63"/>
      <c r="EL316" s="63"/>
      <c r="EM316" s="63"/>
      <c r="EN316" s="63"/>
      <c r="EO316" s="63"/>
      <c r="EP316" s="63"/>
      <c r="EQ316" s="63"/>
      <c r="ER316" s="63"/>
      <c r="ES316" s="63"/>
      <c r="ET316" s="63"/>
      <c r="EU316" s="80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5"/>
      <c r="FH316" s="84"/>
      <c r="FI316" s="64"/>
      <c r="FJ316" s="8"/>
      <c r="FK316" s="48"/>
      <c r="FL316" s="48"/>
      <c r="FM316" s="48"/>
      <c r="FN316" s="48"/>
      <c r="FO316" s="48"/>
      <c r="FP316" s="48"/>
      <c r="FQ316" s="48"/>
      <c r="FR316" s="48"/>
      <c r="FS316" s="48"/>
      <c r="FT316" s="48"/>
      <c r="FU316" s="48"/>
      <c r="FV316" s="48"/>
      <c r="FW316" s="48"/>
      <c r="FX316" s="48"/>
      <c r="FY316" s="48"/>
      <c r="FZ316" s="48"/>
      <c r="GA316" s="48"/>
      <c r="GB316" s="48"/>
      <c r="GC316" s="48"/>
      <c r="GD316" s="48"/>
      <c r="GE316" s="48"/>
      <c r="GF316" s="48"/>
      <c r="GG316" s="48"/>
      <c r="GH316" s="48"/>
      <c r="GI316" s="48"/>
      <c r="GJ316" s="8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77"/>
      <c r="GY316" s="77"/>
      <c r="GZ316" s="77"/>
    </row>
    <row r="317" spans="1:208">
      <c r="A317" s="48"/>
      <c r="B317" s="49"/>
      <c r="C317" s="50"/>
      <c r="D317" s="51"/>
      <c r="E317" s="50"/>
      <c r="F317" s="52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90"/>
      <c r="V317" s="91"/>
      <c r="W317" s="92"/>
      <c r="X317" s="92"/>
      <c r="Y317" s="92"/>
      <c r="Z317" s="91"/>
      <c r="AA317" s="93"/>
      <c r="AB317" s="99"/>
      <c r="AC317" s="54"/>
      <c r="AD317" s="54"/>
      <c r="AE317" s="54"/>
      <c r="AF317" s="54"/>
      <c r="AG317" s="54"/>
      <c r="AH317" s="54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113"/>
      <c r="BB317" s="110"/>
      <c r="BC317" s="110"/>
      <c r="BD317" s="110"/>
      <c r="BE317" s="110"/>
      <c r="BF317" s="110"/>
      <c r="BG317" s="110"/>
      <c r="BH317" s="110"/>
      <c r="BI317" s="113"/>
      <c r="BJ317" s="110"/>
      <c r="BK317" s="110"/>
      <c r="BL317" s="110"/>
      <c r="BM317" s="110"/>
      <c r="BN317" s="113"/>
      <c r="BO317" s="110"/>
      <c r="BP317" s="110"/>
      <c r="BQ317" s="110"/>
      <c r="BR317" s="110"/>
      <c r="BS317" s="110"/>
      <c r="BT317" s="110"/>
      <c r="BU317" s="110"/>
      <c r="BV317" s="110"/>
      <c r="BW317" s="110"/>
      <c r="BX317" s="113"/>
      <c r="BY317" s="110"/>
      <c r="BZ317" s="110"/>
      <c r="CA317" s="110"/>
      <c r="CB317" s="110"/>
      <c r="CC317" s="110"/>
      <c r="CD317" s="110"/>
      <c r="CE317" s="110"/>
      <c r="CF317" s="110"/>
      <c r="CG317" s="113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66"/>
      <c r="DA317" s="70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56"/>
      <c r="DR317" s="57"/>
      <c r="DS317" s="58"/>
      <c r="DT317" s="58"/>
      <c r="DU317" s="58"/>
      <c r="DV317" s="58"/>
      <c r="DW317" s="58"/>
      <c r="DX317" s="58"/>
      <c r="DY317" s="58"/>
      <c r="DZ317" s="59"/>
      <c r="EA317" s="60"/>
      <c r="EB317" s="61"/>
      <c r="EC317" s="62"/>
      <c r="ED317" s="2"/>
      <c r="EE317" s="63"/>
      <c r="EF317" s="63"/>
      <c r="EG317" s="63"/>
      <c r="EH317" s="63"/>
      <c r="EI317" s="63"/>
      <c r="EJ317" s="63"/>
      <c r="EK317" s="63"/>
      <c r="EL317" s="63"/>
      <c r="EM317" s="63"/>
      <c r="EN317" s="63"/>
      <c r="EO317" s="63"/>
      <c r="EP317" s="63"/>
      <c r="EQ317" s="63"/>
      <c r="ER317" s="63"/>
      <c r="ES317" s="63"/>
      <c r="ET317" s="63"/>
      <c r="EU317" s="80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5"/>
      <c r="FH317" s="84"/>
      <c r="FI317" s="64"/>
      <c r="FJ317" s="8"/>
      <c r="FK317" s="48"/>
      <c r="FL317" s="48"/>
      <c r="FM317" s="48"/>
      <c r="FN317" s="48"/>
      <c r="FO317" s="48"/>
      <c r="FP317" s="48"/>
      <c r="FQ317" s="48"/>
      <c r="FR317" s="48"/>
      <c r="FS317" s="48"/>
      <c r="FT317" s="48"/>
      <c r="FU317" s="48"/>
      <c r="FV317" s="48"/>
      <c r="FW317" s="48"/>
      <c r="FX317" s="48"/>
      <c r="FY317" s="48"/>
      <c r="FZ317" s="48"/>
      <c r="GA317" s="48"/>
      <c r="GB317" s="48"/>
      <c r="GC317" s="48"/>
      <c r="GD317" s="48"/>
      <c r="GE317" s="48"/>
      <c r="GF317" s="48"/>
      <c r="GG317" s="48"/>
      <c r="GH317" s="48"/>
      <c r="GI317" s="48"/>
      <c r="GJ317" s="8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77"/>
      <c r="GY317" s="77"/>
      <c r="GZ317" s="77"/>
    </row>
    <row r="318" spans="1:208">
      <c r="A318" s="48"/>
      <c r="B318" s="49"/>
      <c r="C318" s="50"/>
      <c r="D318" s="51"/>
      <c r="E318" s="50"/>
      <c r="F318" s="52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90"/>
      <c r="V318" s="91"/>
      <c r="W318" s="92"/>
      <c r="X318" s="92"/>
      <c r="Y318" s="92"/>
      <c r="Z318" s="91"/>
      <c r="AA318" s="93"/>
      <c r="AB318" s="99"/>
      <c r="AC318" s="54"/>
      <c r="AD318" s="54"/>
      <c r="AE318" s="54"/>
      <c r="AF318" s="54"/>
      <c r="AG318" s="54"/>
      <c r="AH318" s="54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113"/>
      <c r="BB318" s="110"/>
      <c r="BC318" s="110"/>
      <c r="BD318" s="110"/>
      <c r="BE318" s="110"/>
      <c r="BF318" s="110"/>
      <c r="BG318" s="110"/>
      <c r="BH318" s="110"/>
      <c r="BI318" s="113"/>
      <c r="BJ318" s="110"/>
      <c r="BK318" s="110"/>
      <c r="BL318" s="110"/>
      <c r="BM318" s="110"/>
      <c r="BN318" s="113"/>
      <c r="BO318" s="110"/>
      <c r="BP318" s="110"/>
      <c r="BQ318" s="110"/>
      <c r="BR318" s="110"/>
      <c r="BS318" s="110"/>
      <c r="BT318" s="110"/>
      <c r="BU318" s="110"/>
      <c r="BV318" s="110"/>
      <c r="BW318" s="110"/>
      <c r="BX318" s="113"/>
      <c r="BY318" s="110"/>
      <c r="BZ318" s="110"/>
      <c r="CA318" s="110"/>
      <c r="CB318" s="110"/>
      <c r="CC318" s="110"/>
      <c r="CD318" s="110"/>
      <c r="CE318" s="110"/>
      <c r="CF318" s="110"/>
      <c r="CG318" s="113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66"/>
      <c r="DA318" s="70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56"/>
      <c r="DR318" s="57"/>
      <c r="DS318" s="58"/>
      <c r="DT318" s="58"/>
      <c r="DU318" s="58"/>
      <c r="DV318" s="58"/>
      <c r="DW318" s="58"/>
      <c r="DX318" s="58"/>
      <c r="DY318" s="58"/>
      <c r="DZ318" s="59"/>
      <c r="EA318" s="60"/>
      <c r="EB318" s="61"/>
      <c r="EC318" s="62"/>
      <c r="ED318" s="2"/>
      <c r="EE318" s="63"/>
      <c r="EF318" s="63"/>
      <c r="EG318" s="63"/>
      <c r="EH318" s="63"/>
      <c r="EI318" s="63"/>
      <c r="EJ318" s="63"/>
      <c r="EK318" s="63"/>
      <c r="EL318" s="63"/>
      <c r="EM318" s="63"/>
      <c r="EN318" s="63"/>
      <c r="EO318" s="63"/>
      <c r="EP318" s="63"/>
      <c r="EQ318" s="63"/>
      <c r="ER318" s="63"/>
      <c r="ES318" s="63"/>
      <c r="ET318" s="63"/>
      <c r="EU318" s="80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5"/>
      <c r="FH318" s="84"/>
      <c r="FI318" s="64"/>
      <c r="FJ318" s="8"/>
      <c r="FK318" s="48"/>
      <c r="FL318" s="48"/>
      <c r="FM318" s="48"/>
      <c r="FN318" s="48"/>
      <c r="FO318" s="48"/>
      <c r="FP318" s="48"/>
      <c r="FQ318" s="48"/>
      <c r="FR318" s="48"/>
      <c r="FS318" s="48"/>
      <c r="FT318" s="48"/>
      <c r="FU318" s="48"/>
      <c r="FV318" s="48"/>
      <c r="FW318" s="48"/>
      <c r="FX318" s="48"/>
      <c r="FY318" s="48"/>
      <c r="FZ318" s="48"/>
      <c r="GA318" s="48"/>
      <c r="GB318" s="48"/>
      <c r="GC318" s="48"/>
      <c r="GD318" s="48"/>
      <c r="GE318" s="48"/>
      <c r="GF318" s="48"/>
      <c r="GG318" s="48"/>
      <c r="GH318" s="48"/>
      <c r="GI318" s="48"/>
      <c r="GJ318" s="8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77"/>
      <c r="GY318" s="77"/>
      <c r="GZ318" s="77"/>
    </row>
    <row r="319" spans="1:208">
      <c r="A319" s="48"/>
      <c r="B319" s="49"/>
      <c r="C319" s="50"/>
      <c r="D319" s="51"/>
      <c r="E319" s="50"/>
      <c r="F319" s="52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90"/>
      <c r="V319" s="91"/>
      <c r="W319" s="92"/>
      <c r="X319" s="92"/>
      <c r="Y319" s="92"/>
      <c r="Z319" s="91"/>
      <c r="AA319" s="93"/>
      <c r="AB319" s="99"/>
      <c r="AC319" s="54"/>
      <c r="AD319" s="54"/>
      <c r="AE319" s="54"/>
      <c r="AF319" s="54"/>
      <c r="AG319" s="54"/>
      <c r="AH319" s="54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113"/>
      <c r="BB319" s="110"/>
      <c r="BC319" s="110"/>
      <c r="BD319" s="110"/>
      <c r="BE319" s="110"/>
      <c r="BF319" s="110"/>
      <c r="BG319" s="110"/>
      <c r="BH319" s="110"/>
      <c r="BI319" s="113"/>
      <c r="BJ319" s="110"/>
      <c r="BK319" s="110"/>
      <c r="BL319" s="110"/>
      <c r="BM319" s="110"/>
      <c r="BN319" s="113"/>
      <c r="BO319" s="110"/>
      <c r="BP319" s="110"/>
      <c r="BQ319" s="110"/>
      <c r="BR319" s="110"/>
      <c r="BS319" s="110"/>
      <c r="BT319" s="110"/>
      <c r="BU319" s="110"/>
      <c r="BV319" s="110"/>
      <c r="BW319" s="110"/>
      <c r="BX319" s="113"/>
      <c r="BY319" s="110"/>
      <c r="BZ319" s="110"/>
      <c r="CA319" s="110"/>
      <c r="CB319" s="110"/>
      <c r="CC319" s="110"/>
      <c r="CD319" s="110"/>
      <c r="CE319" s="110"/>
      <c r="CF319" s="110"/>
      <c r="CG319" s="113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66"/>
      <c r="DA319" s="70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56"/>
      <c r="DR319" s="57"/>
      <c r="DS319" s="58"/>
      <c r="DT319" s="58"/>
      <c r="DU319" s="58"/>
      <c r="DV319" s="58"/>
      <c r="DW319" s="58"/>
      <c r="DX319" s="58"/>
      <c r="DY319" s="58"/>
      <c r="DZ319" s="59"/>
      <c r="EA319" s="60"/>
      <c r="EB319" s="61"/>
      <c r="EC319" s="62"/>
      <c r="ED319" s="2"/>
      <c r="EE319" s="63"/>
      <c r="EF319" s="63"/>
      <c r="EG319" s="63"/>
      <c r="EH319" s="63"/>
      <c r="EI319" s="63"/>
      <c r="EJ319" s="63"/>
      <c r="EK319" s="63"/>
      <c r="EL319" s="63"/>
      <c r="EM319" s="63"/>
      <c r="EN319" s="63"/>
      <c r="EO319" s="63"/>
      <c r="EP319" s="63"/>
      <c r="EQ319" s="63"/>
      <c r="ER319" s="63"/>
      <c r="ES319" s="63"/>
      <c r="ET319" s="63"/>
      <c r="EU319" s="80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5"/>
      <c r="FH319" s="84"/>
      <c r="FI319" s="64"/>
      <c r="FJ319" s="8"/>
      <c r="FK319" s="48"/>
      <c r="FL319" s="48"/>
      <c r="FM319" s="48"/>
      <c r="FN319" s="48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8"/>
      <c r="GG319" s="48"/>
      <c r="GH319" s="48"/>
      <c r="GI319" s="48"/>
      <c r="GJ319" s="8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77"/>
      <c r="GY319" s="77"/>
      <c r="GZ319" s="77"/>
    </row>
    <row r="320" spans="1:208">
      <c r="A320" s="48"/>
      <c r="B320" s="49"/>
      <c r="C320" s="50"/>
      <c r="D320" s="51"/>
      <c r="E320" s="50"/>
      <c r="F320" s="52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90"/>
      <c r="V320" s="91"/>
      <c r="W320" s="92"/>
      <c r="X320" s="92"/>
      <c r="Y320" s="92"/>
      <c r="Z320" s="91"/>
      <c r="AA320" s="93"/>
      <c r="AB320" s="99"/>
      <c r="AC320" s="54"/>
      <c r="AD320" s="54"/>
      <c r="AE320" s="54"/>
      <c r="AF320" s="54"/>
      <c r="AG320" s="54"/>
      <c r="AH320" s="54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113"/>
      <c r="BB320" s="110"/>
      <c r="BC320" s="110"/>
      <c r="BD320" s="110"/>
      <c r="BE320" s="110"/>
      <c r="BF320" s="110"/>
      <c r="BG320" s="110"/>
      <c r="BH320" s="110"/>
      <c r="BI320" s="113"/>
      <c r="BJ320" s="110"/>
      <c r="BK320" s="110"/>
      <c r="BL320" s="110"/>
      <c r="BM320" s="110"/>
      <c r="BN320" s="113"/>
      <c r="BO320" s="110"/>
      <c r="BP320" s="110"/>
      <c r="BQ320" s="110"/>
      <c r="BR320" s="110"/>
      <c r="BS320" s="110"/>
      <c r="BT320" s="110"/>
      <c r="BU320" s="110"/>
      <c r="BV320" s="110"/>
      <c r="BW320" s="110"/>
      <c r="BX320" s="113"/>
      <c r="BY320" s="110"/>
      <c r="BZ320" s="110"/>
      <c r="CA320" s="110"/>
      <c r="CB320" s="110"/>
      <c r="CC320" s="110"/>
      <c r="CD320" s="110"/>
      <c r="CE320" s="110"/>
      <c r="CF320" s="110"/>
      <c r="CG320" s="113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66"/>
      <c r="DA320" s="70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56"/>
      <c r="DR320" s="57"/>
      <c r="DS320" s="58"/>
      <c r="DT320" s="58"/>
      <c r="DU320" s="58"/>
      <c r="DV320" s="58"/>
      <c r="DW320" s="58"/>
      <c r="DX320" s="58"/>
      <c r="DY320" s="58"/>
      <c r="DZ320" s="59"/>
      <c r="EA320" s="60"/>
      <c r="EB320" s="61"/>
      <c r="EC320" s="62"/>
      <c r="ED320" s="2"/>
      <c r="EE320" s="63"/>
      <c r="EF320" s="63"/>
      <c r="EG320" s="63"/>
      <c r="EH320" s="63"/>
      <c r="EI320" s="63"/>
      <c r="EJ320" s="63"/>
      <c r="EK320" s="63"/>
      <c r="EL320" s="63"/>
      <c r="EM320" s="63"/>
      <c r="EN320" s="63"/>
      <c r="EO320" s="63"/>
      <c r="EP320" s="63"/>
      <c r="EQ320" s="63"/>
      <c r="ER320" s="63"/>
      <c r="ES320" s="63"/>
      <c r="ET320" s="63"/>
      <c r="EU320" s="80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5"/>
      <c r="FH320" s="84"/>
      <c r="FI320" s="64"/>
      <c r="FJ320" s="8"/>
      <c r="FK320" s="48"/>
      <c r="FL320" s="48"/>
      <c r="FM320" s="48"/>
      <c r="FN320" s="48"/>
      <c r="FO320" s="48"/>
      <c r="FP320" s="48"/>
      <c r="FQ320" s="48"/>
      <c r="FR320" s="48"/>
      <c r="FS320" s="48"/>
      <c r="FT320" s="48"/>
      <c r="FU320" s="48"/>
      <c r="FV320" s="48"/>
      <c r="FW320" s="48"/>
      <c r="FX320" s="48"/>
      <c r="FY320" s="48"/>
      <c r="FZ320" s="48"/>
      <c r="GA320" s="48"/>
      <c r="GB320" s="48"/>
      <c r="GC320" s="48"/>
      <c r="GD320" s="48"/>
      <c r="GE320" s="48"/>
      <c r="GF320" s="48"/>
      <c r="GG320" s="48"/>
      <c r="GH320" s="48"/>
      <c r="GI320" s="48"/>
      <c r="GJ320" s="8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77"/>
      <c r="GY320" s="77"/>
      <c r="GZ320" s="77"/>
    </row>
    <row r="321" spans="1:208">
      <c r="A321" s="48"/>
      <c r="B321" s="49"/>
      <c r="C321" s="50"/>
      <c r="D321" s="51"/>
      <c r="E321" s="50"/>
      <c r="F321" s="52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90"/>
      <c r="V321" s="91"/>
      <c r="W321" s="92"/>
      <c r="X321" s="92"/>
      <c r="Y321" s="92"/>
      <c r="Z321" s="91"/>
      <c r="AA321" s="93"/>
      <c r="AB321" s="99"/>
      <c r="AC321" s="54"/>
      <c r="AD321" s="54"/>
      <c r="AE321" s="54"/>
      <c r="AF321" s="54"/>
      <c r="AG321" s="54"/>
      <c r="AH321" s="54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113"/>
      <c r="BB321" s="110"/>
      <c r="BC321" s="110"/>
      <c r="BD321" s="110"/>
      <c r="BE321" s="110"/>
      <c r="BF321" s="110"/>
      <c r="BG321" s="110"/>
      <c r="BH321" s="110"/>
      <c r="BI321" s="113"/>
      <c r="BJ321" s="110"/>
      <c r="BK321" s="110"/>
      <c r="BL321" s="110"/>
      <c r="BM321" s="110"/>
      <c r="BN321" s="113"/>
      <c r="BO321" s="110"/>
      <c r="BP321" s="110"/>
      <c r="BQ321" s="110"/>
      <c r="BR321" s="110"/>
      <c r="BS321" s="110"/>
      <c r="BT321" s="110"/>
      <c r="BU321" s="110"/>
      <c r="BV321" s="110"/>
      <c r="BW321" s="110"/>
      <c r="BX321" s="113"/>
      <c r="BY321" s="110"/>
      <c r="BZ321" s="110"/>
      <c r="CA321" s="110"/>
      <c r="CB321" s="110"/>
      <c r="CC321" s="110"/>
      <c r="CD321" s="110"/>
      <c r="CE321" s="110"/>
      <c r="CF321" s="110"/>
      <c r="CG321" s="113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66"/>
      <c r="DA321" s="70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56"/>
      <c r="DR321" s="57"/>
      <c r="DS321" s="58"/>
      <c r="DT321" s="58"/>
      <c r="DU321" s="58"/>
      <c r="DV321" s="58"/>
      <c r="DW321" s="58"/>
      <c r="DX321" s="58"/>
      <c r="DY321" s="58"/>
      <c r="DZ321" s="59"/>
      <c r="EA321" s="60"/>
      <c r="EB321" s="61"/>
      <c r="EC321" s="62"/>
      <c r="ED321" s="2"/>
      <c r="EE321" s="63"/>
      <c r="EF321" s="63"/>
      <c r="EG321" s="63"/>
      <c r="EH321" s="63"/>
      <c r="EI321" s="63"/>
      <c r="EJ321" s="63"/>
      <c r="EK321" s="63"/>
      <c r="EL321" s="63"/>
      <c r="EM321" s="63"/>
      <c r="EN321" s="63"/>
      <c r="EO321" s="63"/>
      <c r="EP321" s="63"/>
      <c r="EQ321" s="63"/>
      <c r="ER321" s="63"/>
      <c r="ES321" s="63"/>
      <c r="ET321" s="63"/>
      <c r="EU321" s="80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5"/>
      <c r="FH321" s="84"/>
      <c r="FI321" s="64"/>
      <c r="FJ321" s="8"/>
      <c r="FK321" s="48"/>
      <c r="FL321" s="48"/>
      <c r="FM321" s="48"/>
      <c r="FN321" s="48"/>
      <c r="FO321" s="48"/>
      <c r="FP321" s="48"/>
      <c r="FQ321" s="48"/>
      <c r="FR321" s="48"/>
      <c r="FS321" s="48"/>
      <c r="FT321" s="48"/>
      <c r="FU321" s="48"/>
      <c r="FV321" s="48"/>
      <c r="FW321" s="48"/>
      <c r="FX321" s="48"/>
      <c r="FY321" s="48"/>
      <c r="FZ321" s="48"/>
      <c r="GA321" s="48"/>
      <c r="GB321" s="48"/>
      <c r="GC321" s="48"/>
      <c r="GD321" s="48"/>
      <c r="GE321" s="48"/>
      <c r="GF321" s="48"/>
      <c r="GG321" s="48"/>
      <c r="GH321" s="48"/>
      <c r="GI321" s="48"/>
      <c r="GJ321" s="8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77"/>
      <c r="GY321" s="77"/>
      <c r="GZ321" s="77"/>
    </row>
    <row r="322" spans="1:208">
      <c r="A322" s="48"/>
      <c r="B322" s="49"/>
      <c r="C322" s="50"/>
      <c r="D322" s="51"/>
      <c r="E322" s="50"/>
      <c r="F322" s="52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90"/>
      <c r="V322" s="91"/>
      <c r="W322" s="92"/>
      <c r="X322" s="92"/>
      <c r="Y322" s="92"/>
      <c r="Z322" s="91"/>
      <c r="AA322" s="93"/>
      <c r="AB322" s="99"/>
      <c r="AC322" s="54"/>
      <c r="AD322" s="54"/>
      <c r="AE322" s="54"/>
      <c r="AF322" s="54"/>
      <c r="AG322" s="54"/>
      <c r="AH322" s="54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113"/>
      <c r="BB322" s="110"/>
      <c r="BC322" s="110"/>
      <c r="BD322" s="110"/>
      <c r="BE322" s="110"/>
      <c r="BF322" s="110"/>
      <c r="BG322" s="110"/>
      <c r="BH322" s="110"/>
      <c r="BI322" s="113"/>
      <c r="BJ322" s="110"/>
      <c r="BK322" s="110"/>
      <c r="BL322" s="110"/>
      <c r="BM322" s="110"/>
      <c r="BN322" s="113"/>
      <c r="BO322" s="110"/>
      <c r="BP322" s="110"/>
      <c r="BQ322" s="110"/>
      <c r="BR322" s="110"/>
      <c r="BS322" s="110"/>
      <c r="BT322" s="110"/>
      <c r="BU322" s="110"/>
      <c r="BV322" s="110"/>
      <c r="BW322" s="110"/>
      <c r="BX322" s="113"/>
      <c r="BY322" s="110"/>
      <c r="BZ322" s="110"/>
      <c r="CA322" s="110"/>
      <c r="CB322" s="110"/>
      <c r="CC322" s="110"/>
      <c r="CD322" s="110"/>
      <c r="CE322" s="110"/>
      <c r="CF322" s="110"/>
      <c r="CG322" s="113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66"/>
      <c r="DA322" s="70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56"/>
      <c r="DR322" s="57"/>
      <c r="DS322" s="58"/>
      <c r="DT322" s="58"/>
      <c r="DU322" s="58"/>
      <c r="DV322" s="58"/>
      <c r="DW322" s="58"/>
      <c r="DX322" s="58"/>
      <c r="DY322" s="58"/>
      <c r="DZ322" s="59"/>
      <c r="EA322" s="60"/>
      <c r="EB322" s="61"/>
      <c r="EC322" s="62"/>
      <c r="ED322" s="2"/>
      <c r="EE322" s="63"/>
      <c r="EF322" s="63"/>
      <c r="EG322" s="63"/>
      <c r="EH322" s="63"/>
      <c r="EI322" s="63"/>
      <c r="EJ322" s="63"/>
      <c r="EK322" s="63"/>
      <c r="EL322" s="63"/>
      <c r="EM322" s="63"/>
      <c r="EN322" s="63"/>
      <c r="EO322" s="63"/>
      <c r="EP322" s="63"/>
      <c r="EQ322" s="63"/>
      <c r="ER322" s="63"/>
      <c r="ES322" s="63"/>
      <c r="ET322" s="63"/>
      <c r="EU322" s="80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5"/>
      <c r="FH322" s="84"/>
      <c r="FI322" s="64"/>
      <c r="FJ322" s="8"/>
      <c r="FK322" s="48"/>
      <c r="FL322" s="48"/>
      <c r="FM322" s="48"/>
      <c r="FN322" s="48"/>
      <c r="FO322" s="48"/>
      <c r="FP322" s="48"/>
      <c r="FQ322" s="48"/>
      <c r="FR322" s="48"/>
      <c r="FS322" s="48"/>
      <c r="FT322" s="48"/>
      <c r="FU322" s="48"/>
      <c r="FV322" s="48"/>
      <c r="FW322" s="48"/>
      <c r="FX322" s="48"/>
      <c r="FY322" s="48"/>
      <c r="FZ322" s="48"/>
      <c r="GA322" s="48"/>
      <c r="GB322" s="48"/>
      <c r="GC322" s="48"/>
      <c r="GD322" s="48"/>
      <c r="GE322" s="48"/>
      <c r="GF322" s="48"/>
      <c r="GG322" s="48"/>
      <c r="GH322" s="48"/>
      <c r="GI322" s="48"/>
      <c r="GJ322" s="8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77"/>
      <c r="GY322" s="77"/>
      <c r="GZ322" s="77"/>
    </row>
    <row r="323" spans="1:208">
      <c r="A323" s="48"/>
      <c r="B323" s="49"/>
      <c r="C323" s="50"/>
      <c r="D323" s="51"/>
      <c r="E323" s="50"/>
      <c r="F323" s="52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90"/>
      <c r="V323" s="91"/>
      <c r="W323" s="92"/>
      <c r="X323" s="92"/>
      <c r="Y323" s="92"/>
      <c r="Z323" s="91"/>
      <c r="AA323" s="93"/>
      <c r="AB323" s="99"/>
      <c r="AC323" s="54"/>
      <c r="AD323" s="54"/>
      <c r="AE323" s="54"/>
      <c r="AF323" s="54"/>
      <c r="AG323" s="54"/>
      <c r="AH323" s="54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113"/>
      <c r="BB323" s="110"/>
      <c r="BC323" s="110"/>
      <c r="BD323" s="110"/>
      <c r="BE323" s="110"/>
      <c r="BF323" s="110"/>
      <c r="BG323" s="110"/>
      <c r="BH323" s="110"/>
      <c r="BI323" s="113"/>
      <c r="BJ323" s="110"/>
      <c r="BK323" s="110"/>
      <c r="BL323" s="110"/>
      <c r="BM323" s="110"/>
      <c r="BN323" s="113"/>
      <c r="BO323" s="110"/>
      <c r="BP323" s="110"/>
      <c r="BQ323" s="110"/>
      <c r="BR323" s="110"/>
      <c r="BS323" s="110"/>
      <c r="BT323" s="110"/>
      <c r="BU323" s="110"/>
      <c r="BV323" s="110"/>
      <c r="BW323" s="110"/>
      <c r="BX323" s="113"/>
      <c r="BY323" s="110"/>
      <c r="BZ323" s="110"/>
      <c r="CA323" s="110"/>
      <c r="CB323" s="110"/>
      <c r="CC323" s="110"/>
      <c r="CD323" s="110"/>
      <c r="CE323" s="110"/>
      <c r="CF323" s="110"/>
      <c r="CG323" s="113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66"/>
      <c r="DA323" s="70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56"/>
      <c r="DR323" s="57"/>
      <c r="DS323" s="58"/>
      <c r="DT323" s="58"/>
      <c r="DU323" s="58"/>
      <c r="DV323" s="58"/>
      <c r="DW323" s="58"/>
      <c r="DX323" s="58"/>
      <c r="DY323" s="58"/>
      <c r="DZ323" s="59"/>
      <c r="EA323" s="60"/>
      <c r="EB323" s="61"/>
      <c r="EC323" s="62"/>
      <c r="ED323" s="2"/>
      <c r="EE323" s="63"/>
      <c r="EF323" s="63"/>
      <c r="EG323" s="63"/>
      <c r="EH323" s="63"/>
      <c r="EI323" s="63"/>
      <c r="EJ323" s="63"/>
      <c r="EK323" s="63"/>
      <c r="EL323" s="63"/>
      <c r="EM323" s="63"/>
      <c r="EN323" s="63"/>
      <c r="EO323" s="63"/>
      <c r="EP323" s="63"/>
      <c r="EQ323" s="63"/>
      <c r="ER323" s="63"/>
      <c r="ES323" s="63"/>
      <c r="ET323" s="63"/>
      <c r="EU323" s="80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5"/>
      <c r="FH323" s="84"/>
      <c r="FI323" s="64"/>
      <c r="FJ323" s="8"/>
      <c r="FK323" s="48"/>
      <c r="FL323" s="48"/>
      <c r="FM323" s="48"/>
      <c r="FN323" s="48"/>
      <c r="FO323" s="48"/>
      <c r="FP323" s="48"/>
      <c r="FQ323" s="48"/>
      <c r="FR323" s="48"/>
      <c r="FS323" s="48"/>
      <c r="FT323" s="48"/>
      <c r="FU323" s="48"/>
      <c r="FV323" s="48"/>
      <c r="FW323" s="48"/>
      <c r="FX323" s="48"/>
      <c r="FY323" s="48"/>
      <c r="FZ323" s="48"/>
      <c r="GA323" s="48"/>
      <c r="GB323" s="48"/>
      <c r="GC323" s="48"/>
      <c r="GD323" s="48"/>
      <c r="GE323" s="48"/>
      <c r="GF323" s="48"/>
      <c r="GG323" s="48"/>
      <c r="GH323" s="48"/>
      <c r="GI323" s="48"/>
      <c r="GJ323" s="8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77"/>
      <c r="GY323" s="77"/>
      <c r="GZ323" s="77"/>
    </row>
    <row r="324" spans="1:208">
      <c r="A324" s="48"/>
      <c r="B324" s="49"/>
      <c r="C324" s="50"/>
      <c r="D324" s="51"/>
      <c r="E324" s="50"/>
      <c r="F324" s="52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90"/>
      <c r="V324" s="91"/>
      <c r="W324" s="92"/>
      <c r="X324" s="92"/>
      <c r="Y324" s="92"/>
      <c r="Z324" s="91"/>
      <c r="AA324" s="93"/>
      <c r="AB324" s="99"/>
      <c r="AC324" s="54"/>
      <c r="AD324" s="54"/>
      <c r="AE324" s="54"/>
      <c r="AF324" s="54"/>
      <c r="AG324" s="54"/>
      <c r="AH324" s="54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113"/>
      <c r="BB324" s="110"/>
      <c r="BC324" s="110"/>
      <c r="BD324" s="110"/>
      <c r="BE324" s="110"/>
      <c r="BF324" s="110"/>
      <c r="BG324" s="110"/>
      <c r="BH324" s="110"/>
      <c r="BI324" s="113"/>
      <c r="BJ324" s="110"/>
      <c r="BK324" s="110"/>
      <c r="BL324" s="110"/>
      <c r="BM324" s="110"/>
      <c r="BN324" s="113"/>
      <c r="BO324" s="110"/>
      <c r="BP324" s="110"/>
      <c r="BQ324" s="110"/>
      <c r="BR324" s="110"/>
      <c r="BS324" s="110"/>
      <c r="BT324" s="110"/>
      <c r="BU324" s="110"/>
      <c r="BV324" s="110"/>
      <c r="BW324" s="110"/>
      <c r="BX324" s="113"/>
      <c r="BY324" s="110"/>
      <c r="BZ324" s="110"/>
      <c r="CA324" s="110"/>
      <c r="CB324" s="110"/>
      <c r="CC324" s="110"/>
      <c r="CD324" s="110"/>
      <c r="CE324" s="110"/>
      <c r="CF324" s="110"/>
      <c r="CG324" s="113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66"/>
      <c r="DA324" s="70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56"/>
      <c r="DR324" s="57"/>
      <c r="DS324" s="58"/>
      <c r="DT324" s="58"/>
      <c r="DU324" s="58"/>
      <c r="DV324" s="58"/>
      <c r="DW324" s="58"/>
      <c r="DX324" s="58"/>
      <c r="DY324" s="58"/>
      <c r="DZ324" s="59"/>
      <c r="EA324" s="60"/>
      <c r="EB324" s="61"/>
      <c r="EC324" s="62"/>
      <c r="ED324" s="2"/>
      <c r="EE324" s="63"/>
      <c r="EF324" s="63"/>
      <c r="EG324" s="63"/>
      <c r="EH324" s="63"/>
      <c r="EI324" s="63"/>
      <c r="EJ324" s="63"/>
      <c r="EK324" s="63"/>
      <c r="EL324" s="63"/>
      <c r="EM324" s="63"/>
      <c r="EN324" s="63"/>
      <c r="EO324" s="63"/>
      <c r="EP324" s="63"/>
      <c r="EQ324" s="63"/>
      <c r="ER324" s="63"/>
      <c r="ES324" s="63"/>
      <c r="ET324" s="63"/>
      <c r="EU324" s="80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5"/>
      <c r="FH324" s="84"/>
      <c r="FI324" s="64"/>
      <c r="FJ324" s="8"/>
      <c r="FK324" s="48"/>
      <c r="FL324" s="48"/>
      <c r="FM324" s="48"/>
      <c r="FN324" s="48"/>
      <c r="FO324" s="48"/>
      <c r="FP324" s="48"/>
      <c r="FQ324" s="48"/>
      <c r="FR324" s="48"/>
      <c r="FS324" s="48"/>
      <c r="FT324" s="48"/>
      <c r="FU324" s="48"/>
      <c r="FV324" s="48"/>
      <c r="FW324" s="48"/>
      <c r="FX324" s="48"/>
      <c r="FY324" s="48"/>
      <c r="FZ324" s="48"/>
      <c r="GA324" s="48"/>
      <c r="GB324" s="48"/>
      <c r="GC324" s="48"/>
      <c r="GD324" s="48"/>
      <c r="GE324" s="48"/>
      <c r="GF324" s="48"/>
      <c r="GG324" s="48"/>
      <c r="GH324" s="48"/>
      <c r="GI324" s="48"/>
      <c r="GJ324" s="8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77"/>
      <c r="GY324" s="77"/>
      <c r="GZ324" s="77"/>
    </row>
    <row r="325" spans="1:208">
      <c r="A325" s="48"/>
      <c r="B325" s="49"/>
      <c r="C325" s="50"/>
      <c r="D325" s="51"/>
      <c r="E325" s="50"/>
      <c r="F325" s="52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90"/>
      <c r="V325" s="91"/>
      <c r="W325" s="92"/>
      <c r="X325" s="92"/>
      <c r="Y325" s="92"/>
      <c r="Z325" s="91"/>
      <c r="AA325" s="93"/>
      <c r="AB325" s="99"/>
      <c r="AC325" s="54"/>
      <c r="AD325" s="54"/>
      <c r="AE325" s="54"/>
      <c r="AF325" s="54"/>
      <c r="AG325" s="54"/>
      <c r="AH325" s="54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113"/>
      <c r="BB325" s="110"/>
      <c r="BC325" s="110"/>
      <c r="BD325" s="110"/>
      <c r="BE325" s="110"/>
      <c r="BF325" s="110"/>
      <c r="BG325" s="110"/>
      <c r="BH325" s="110"/>
      <c r="BI325" s="113"/>
      <c r="BJ325" s="110"/>
      <c r="BK325" s="110"/>
      <c r="BL325" s="110"/>
      <c r="BM325" s="110"/>
      <c r="BN325" s="113"/>
      <c r="BO325" s="110"/>
      <c r="BP325" s="110"/>
      <c r="BQ325" s="110"/>
      <c r="BR325" s="110"/>
      <c r="BS325" s="110"/>
      <c r="BT325" s="110"/>
      <c r="BU325" s="110"/>
      <c r="BV325" s="110"/>
      <c r="BW325" s="110"/>
      <c r="BX325" s="113"/>
      <c r="BY325" s="110"/>
      <c r="BZ325" s="110"/>
      <c r="CA325" s="110"/>
      <c r="CB325" s="110"/>
      <c r="CC325" s="110"/>
      <c r="CD325" s="110"/>
      <c r="CE325" s="110"/>
      <c r="CF325" s="110"/>
      <c r="CG325" s="113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66"/>
      <c r="DA325" s="70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56"/>
      <c r="DR325" s="57"/>
      <c r="DS325" s="58"/>
      <c r="DT325" s="58"/>
      <c r="DU325" s="58"/>
      <c r="DV325" s="58"/>
      <c r="DW325" s="58"/>
      <c r="DX325" s="58"/>
      <c r="DY325" s="58"/>
      <c r="DZ325" s="59"/>
      <c r="EA325" s="60"/>
      <c r="EB325" s="61"/>
      <c r="EC325" s="62"/>
      <c r="ED325" s="2"/>
      <c r="EE325" s="63"/>
      <c r="EF325" s="63"/>
      <c r="EG325" s="63"/>
      <c r="EH325" s="63"/>
      <c r="EI325" s="63"/>
      <c r="EJ325" s="63"/>
      <c r="EK325" s="63"/>
      <c r="EL325" s="63"/>
      <c r="EM325" s="63"/>
      <c r="EN325" s="63"/>
      <c r="EO325" s="63"/>
      <c r="EP325" s="63"/>
      <c r="EQ325" s="63"/>
      <c r="ER325" s="63"/>
      <c r="ES325" s="63"/>
      <c r="ET325" s="63"/>
      <c r="EU325" s="80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5"/>
      <c r="FH325" s="84"/>
      <c r="FI325" s="64"/>
      <c r="FJ325" s="8"/>
      <c r="FK325" s="48"/>
      <c r="FL325" s="48"/>
      <c r="FM325" s="48"/>
      <c r="FN325" s="48"/>
      <c r="FO325" s="48"/>
      <c r="FP325" s="48"/>
      <c r="FQ325" s="48"/>
      <c r="FR325" s="48"/>
      <c r="FS325" s="48"/>
      <c r="FT325" s="48"/>
      <c r="FU325" s="48"/>
      <c r="FV325" s="48"/>
      <c r="FW325" s="48"/>
      <c r="FX325" s="48"/>
      <c r="FY325" s="48"/>
      <c r="FZ325" s="48"/>
      <c r="GA325" s="48"/>
      <c r="GB325" s="48"/>
      <c r="GC325" s="48"/>
      <c r="GD325" s="48"/>
      <c r="GE325" s="48"/>
      <c r="GF325" s="48"/>
      <c r="GG325" s="48"/>
      <c r="GH325" s="48"/>
      <c r="GI325" s="48"/>
      <c r="GJ325" s="8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77"/>
      <c r="GY325" s="77"/>
      <c r="GZ325" s="77"/>
    </row>
    <row r="326" spans="1:208">
      <c r="A326" s="48"/>
      <c r="B326" s="49"/>
      <c r="C326" s="50"/>
      <c r="D326" s="51"/>
      <c r="E326" s="50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90"/>
      <c r="V326" s="91"/>
      <c r="W326" s="92"/>
      <c r="X326" s="92"/>
      <c r="Y326" s="92"/>
      <c r="Z326" s="91"/>
      <c r="AA326" s="93"/>
      <c r="AB326" s="99"/>
      <c r="AC326" s="54"/>
      <c r="AD326" s="54"/>
      <c r="AE326" s="54"/>
      <c r="AF326" s="54"/>
      <c r="AG326" s="54"/>
      <c r="AH326" s="54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113"/>
      <c r="BB326" s="110"/>
      <c r="BC326" s="110"/>
      <c r="BD326" s="110"/>
      <c r="BE326" s="110"/>
      <c r="BF326" s="110"/>
      <c r="BG326" s="110"/>
      <c r="BH326" s="110"/>
      <c r="BI326" s="113"/>
      <c r="BJ326" s="110"/>
      <c r="BK326" s="110"/>
      <c r="BL326" s="110"/>
      <c r="BM326" s="110"/>
      <c r="BN326" s="113"/>
      <c r="BO326" s="110"/>
      <c r="BP326" s="110"/>
      <c r="BQ326" s="110"/>
      <c r="BR326" s="110"/>
      <c r="BS326" s="110"/>
      <c r="BT326" s="110"/>
      <c r="BU326" s="110"/>
      <c r="BV326" s="110"/>
      <c r="BW326" s="110"/>
      <c r="BX326" s="113"/>
      <c r="BY326" s="110"/>
      <c r="BZ326" s="110"/>
      <c r="CA326" s="110"/>
      <c r="CB326" s="110"/>
      <c r="CC326" s="110"/>
      <c r="CD326" s="110"/>
      <c r="CE326" s="110"/>
      <c r="CF326" s="110"/>
      <c r="CG326" s="113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66"/>
      <c r="DA326" s="70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56"/>
      <c r="DR326" s="57"/>
      <c r="DS326" s="58"/>
      <c r="DT326" s="58"/>
      <c r="DU326" s="58"/>
      <c r="DV326" s="58"/>
      <c r="DW326" s="58"/>
      <c r="DX326" s="58"/>
      <c r="DY326" s="58"/>
      <c r="DZ326" s="59"/>
      <c r="EA326" s="60"/>
      <c r="EB326" s="61"/>
      <c r="EC326" s="62"/>
      <c r="ED326" s="2"/>
      <c r="EE326" s="63"/>
      <c r="EF326" s="63"/>
      <c r="EG326" s="63"/>
      <c r="EH326" s="63"/>
      <c r="EI326" s="63"/>
      <c r="EJ326" s="63"/>
      <c r="EK326" s="63"/>
      <c r="EL326" s="63"/>
      <c r="EM326" s="63"/>
      <c r="EN326" s="63"/>
      <c r="EO326" s="63"/>
      <c r="EP326" s="63"/>
      <c r="EQ326" s="63"/>
      <c r="ER326" s="63"/>
      <c r="ES326" s="63"/>
      <c r="ET326" s="63"/>
      <c r="EU326" s="80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5"/>
      <c r="FH326" s="84"/>
      <c r="FI326" s="64"/>
      <c r="FJ326" s="8"/>
      <c r="FK326" s="48"/>
      <c r="FL326" s="48"/>
      <c r="FM326" s="48"/>
      <c r="FN326" s="48"/>
      <c r="FO326" s="48"/>
      <c r="FP326" s="48"/>
      <c r="FQ326" s="48"/>
      <c r="FR326" s="48"/>
      <c r="FS326" s="48"/>
      <c r="FT326" s="48"/>
      <c r="FU326" s="48"/>
      <c r="FV326" s="48"/>
      <c r="FW326" s="48"/>
      <c r="FX326" s="48"/>
      <c r="FY326" s="48"/>
      <c r="FZ326" s="48"/>
      <c r="GA326" s="48"/>
      <c r="GB326" s="48"/>
      <c r="GC326" s="48"/>
      <c r="GD326" s="48"/>
      <c r="GE326" s="48"/>
      <c r="GF326" s="48"/>
      <c r="GG326" s="48"/>
      <c r="GH326" s="48"/>
      <c r="GI326" s="48"/>
      <c r="GJ326" s="8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77"/>
      <c r="GY326" s="77"/>
      <c r="GZ326" s="77"/>
    </row>
    <row r="327" spans="1:208">
      <c r="A327" s="48"/>
      <c r="B327" s="49"/>
      <c r="C327" s="50"/>
      <c r="D327" s="51"/>
      <c r="E327" s="50"/>
      <c r="F327" s="52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90"/>
      <c r="V327" s="91"/>
      <c r="W327" s="92"/>
      <c r="X327" s="92"/>
      <c r="Y327" s="92"/>
      <c r="Z327" s="91"/>
      <c r="AA327" s="93"/>
      <c r="AB327" s="99"/>
      <c r="AC327" s="54"/>
      <c r="AD327" s="54"/>
      <c r="AE327" s="54"/>
      <c r="AF327" s="54"/>
      <c r="AG327" s="54"/>
      <c r="AH327" s="54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113"/>
      <c r="BB327" s="110"/>
      <c r="BC327" s="110"/>
      <c r="BD327" s="110"/>
      <c r="BE327" s="110"/>
      <c r="BF327" s="110"/>
      <c r="BG327" s="110"/>
      <c r="BH327" s="110"/>
      <c r="BI327" s="113"/>
      <c r="BJ327" s="110"/>
      <c r="BK327" s="110"/>
      <c r="BL327" s="110"/>
      <c r="BM327" s="110"/>
      <c r="BN327" s="113"/>
      <c r="BO327" s="110"/>
      <c r="BP327" s="110"/>
      <c r="BQ327" s="110"/>
      <c r="BR327" s="110"/>
      <c r="BS327" s="110"/>
      <c r="BT327" s="110"/>
      <c r="BU327" s="110"/>
      <c r="BV327" s="110"/>
      <c r="BW327" s="110"/>
      <c r="BX327" s="113"/>
      <c r="BY327" s="110"/>
      <c r="BZ327" s="110"/>
      <c r="CA327" s="110"/>
      <c r="CB327" s="110"/>
      <c r="CC327" s="110"/>
      <c r="CD327" s="110"/>
      <c r="CE327" s="110"/>
      <c r="CF327" s="110"/>
      <c r="CG327" s="113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66"/>
      <c r="DA327" s="70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56"/>
      <c r="DR327" s="57"/>
      <c r="DS327" s="58"/>
      <c r="DT327" s="58"/>
      <c r="DU327" s="58"/>
      <c r="DV327" s="58"/>
      <c r="DW327" s="58"/>
      <c r="DX327" s="58"/>
      <c r="DY327" s="58"/>
      <c r="DZ327" s="59"/>
      <c r="EA327" s="60"/>
      <c r="EB327" s="61"/>
      <c r="EC327" s="62"/>
      <c r="ED327" s="2"/>
      <c r="EE327" s="63"/>
      <c r="EF327" s="63"/>
      <c r="EG327" s="63"/>
      <c r="EH327" s="63"/>
      <c r="EI327" s="63"/>
      <c r="EJ327" s="63"/>
      <c r="EK327" s="63"/>
      <c r="EL327" s="63"/>
      <c r="EM327" s="63"/>
      <c r="EN327" s="63"/>
      <c r="EO327" s="63"/>
      <c r="EP327" s="63"/>
      <c r="EQ327" s="63"/>
      <c r="ER327" s="63"/>
      <c r="ES327" s="63"/>
      <c r="ET327" s="63"/>
      <c r="EU327" s="80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5"/>
      <c r="FH327" s="84"/>
      <c r="FI327" s="64"/>
      <c r="FJ327" s="8"/>
      <c r="FK327" s="48"/>
      <c r="FL327" s="48"/>
      <c r="FM327" s="48"/>
      <c r="FN327" s="48"/>
      <c r="FO327" s="48"/>
      <c r="FP327" s="48"/>
      <c r="FQ327" s="48"/>
      <c r="FR327" s="48"/>
      <c r="FS327" s="48"/>
      <c r="FT327" s="48"/>
      <c r="FU327" s="48"/>
      <c r="FV327" s="48"/>
      <c r="FW327" s="48"/>
      <c r="FX327" s="48"/>
      <c r="FY327" s="48"/>
      <c r="FZ327" s="48"/>
      <c r="GA327" s="48"/>
      <c r="GB327" s="48"/>
      <c r="GC327" s="48"/>
      <c r="GD327" s="48"/>
      <c r="GE327" s="48"/>
      <c r="GF327" s="48"/>
      <c r="GG327" s="48"/>
      <c r="GH327" s="48"/>
      <c r="GI327" s="48"/>
      <c r="GJ327" s="8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77"/>
      <c r="GY327" s="77"/>
      <c r="GZ327" s="77"/>
    </row>
    <row r="328" spans="1:208">
      <c r="A328" s="48"/>
      <c r="B328" s="49"/>
      <c r="C328" s="50"/>
      <c r="D328" s="51"/>
      <c r="E328" s="50"/>
      <c r="F328" s="52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90"/>
      <c r="V328" s="91"/>
      <c r="W328" s="92"/>
      <c r="X328" s="92"/>
      <c r="Y328" s="92"/>
      <c r="Z328" s="91"/>
      <c r="AA328" s="93"/>
      <c r="AB328" s="99"/>
      <c r="AC328" s="54"/>
      <c r="AD328" s="54"/>
      <c r="AE328" s="54"/>
      <c r="AF328" s="54"/>
      <c r="AG328" s="54"/>
      <c r="AH328" s="54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113"/>
      <c r="BB328" s="110"/>
      <c r="BC328" s="110"/>
      <c r="BD328" s="110"/>
      <c r="BE328" s="110"/>
      <c r="BF328" s="110"/>
      <c r="BG328" s="110"/>
      <c r="BH328" s="110"/>
      <c r="BI328" s="113"/>
      <c r="BJ328" s="110"/>
      <c r="BK328" s="110"/>
      <c r="BL328" s="110"/>
      <c r="BM328" s="110"/>
      <c r="BN328" s="113"/>
      <c r="BO328" s="110"/>
      <c r="BP328" s="110"/>
      <c r="BQ328" s="110"/>
      <c r="BR328" s="110"/>
      <c r="BS328" s="110"/>
      <c r="BT328" s="110"/>
      <c r="BU328" s="110"/>
      <c r="BV328" s="110"/>
      <c r="BW328" s="110"/>
      <c r="BX328" s="113"/>
      <c r="BY328" s="110"/>
      <c r="BZ328" s="110"/>
      <c r="CA328" s="110"/>
      <c r="CB328" s="110"/>
      <c r="CC328" s="110"/>
      <c r="CD328" s="110"/>
      <c r="CE328" s="110"/>
      <c r="CF328" s="110"/>
      <c r="CG328" s="113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66"/>
      <c r="DA328" s="70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56"/>
      <c r="DR328" s="57"/>
      <c r="DS328" s="58"/>
      <c r="DT328" s="58"/>
      <c r="DU328" s="58"/>
      <c r="DV328" s="58"/>
      <c r="DW328" s="58"/>
      <c r="DX328" s="58"/>
      <c r="DY328" s="58"/>
      <c r="DZ328" s="59"/>
      <c r="EA328" s="60"/>
      <c r="EB328" s="61"/>
      <c r="EC328" s="62"/>
      <c r="ED328" s="2"/>
      <c r="EE328" s="63"/>
      <c r="EF328" s="63"/>
      <c r="EG328" s="63"/>
      <c r="EH328" s="63"/>
      <c r="EI328" s="63"/>
      <c r="EJ328" s="63"/>
      <c r="EK328" s="63"/>
      <c r="EL328" s="63"/>
      <c r="EM328" s="63"/>
      <c r="EN328" s="63"/>
      <c r="EO328" s="63"/>
      <c r="EP328" s="63"/>
      <c r="EQ328" s="63"/>
      <c r="ER328" s="63"/>
      <c r="ES328" s="63"/>
      <c r="ET328" s="63"/>
      <c r="EU328" s="80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5"/>
      <c r="FH328" s="84"/>
      <c r="FI328" s="64"/>
      <c r="FJ328" s="8"/>
      <c r="FK328" s="48"/>
      <c r="FL328" s="48"/>
      <c r="FM328" s="48"/>
      <c r="FN328" s="48"/>
      <c r="FO328" s="48"/>
      <c r="FP328" s="48"/>
      <c r="FQ328" s="48"/>
      <c r="FR328" s="48"/>
      <c r="FS328" s="48"/>
      <c r="FT328" s="48"/>
      <c r="FU328" s="48"/>
      <c r="FV328" s="48"/>
      <c r="FW328" s="48"/>
      <c r="FX328" s="48"/>
      <c r="FY328" s="48"/>
      <c r="FZ328" s="48"/>
      <c r="GA328" s="48"/>
      <c r="GB328" s="48"/>
      <c r="GC328" s="48"/>
      <c r="GD328" s="48"/>
      <c r="GE328" s="48"/>
      <c r="GF328" s="48"/>
      <c r="GG328" s="48"/>
      <c r="GH328" s="48"/>
      <c r="GI328" s="48"/>
      <c r="GJ328" s="8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77"/>
      <c r="GY328" s="77"/>
      <c r="GZ328" s="77"/>
    </row>
    <row r="329" spans="1:208">
      <c r="A329" s="48"/>
      <c r="B329" s="49"/>
      <c r="C329" s="50"/>
      <c r="D329" s="51"/>
      <c r="E329" s="50"/>
      <c r="F329" s="52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90"/>
      <c r="V329" s="91"/>
      <c r="W329" s="92"/>
      <c r="X329" s="92"/>
      <c r="Y329" s="92"/>
      <c r="Z329" s="91"/>
      <c r="AA329" s="93"/>
      <c r="AB329" s="99"/>
      <c r="AC329" s="54"/>
      <c r="AD329" s="54"/>
      <c r="AE329" s="54"/>
      <c r="AF329" s="54"/>
      <c r="AG329" s="54"/>
      <c r="AH329" s="54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113"/>
      <c r="BB329" s="110"/>
      <c r="BC329" s="110"/>
      <c r="BD329" s="110"/>
      <c r="BE329" s="110"/>
      <c r="BF329" s="110"/>
      <c r="BG329" s="110"/>
      <c r="BH329" s="110"/>
      <c r="BI329" s="113"/>
      <c r="BJ329" s="110"/>
      <c r="BK329" s="110"/>
      <c r="BL329" s="110"/>
      <c r="BM329" s="110"/>
      <c r="BN329" s="113"/>
      <c r="BO329" s="110"/>
      <c r="BP329" s="110"/>
      <c r="BQ329" s="110"/>
      <c r="BR329" s="110"/>
      <c r="BS329" s="110"/>
      <c r="BT329" s="110"/>
      <c r="BU329" s="110"/>
      <c r="BV329" s="110"/>
      <c r="BW329" s="110"/>
      <c r="BX329" s="113"/>
      <c r="BY329" s="110"/>
      <c r="BZ329" s="110"/>
      <c r="CA329" s="110"/>
      <c r="CB329" s="110"/>
      <c r="CC329" s="110"/>
      <c r="CD329" s="110"/>
      <c r="CE329" s="110"/>
      <c r="CF329" s="110"/>
      <c r="CG329" s="113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66"/>
      <c r="DA329" s="70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56"/>
      <c r="DR329" s="57"/>
      <c r="DS329" s="58"/>
      <c r="DT329" s="58"/>
      <c r="DU329" s="58"/>
      <c r="DV329" s="58"/>
      <c r="DW329" s="58"/>
      <c r="DX329" s="58"/>
      <c r="DY329" s="58"/>
      <c r="DZ329" s="59"/>
      <c r="EA329" s="60"/>
      <c r="EB329" s="61"/>
      <c r="EC329" s="62"/>
      <c r="ED329" s="2"/>
      <c r="EE329" s="63"/>
      <c r="EF329" s="63"/>
      <c r="EG329" s="63"/>
      <c r="EH329" s="63"/>
      <c r="EI329" s="63"/>
      <c r="EJ329" s="63"/>
      <c r="EK329" s="63"/>
      <c r="EL329" s="63"/>
      <c r="EM329" s="63"/>
      <c r="EN329" s="63"/>
      <c r="EO329" s="63"/>
      <c r="EP329" s="63"/>
      <c r="EQ329" s="63"/>
      <c r="ER329" s="63"/>
      <c r="ES329" s="63"/>
      <c r="ET329" s="63"/>
      <c r="EU329" s="80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5"/>
      <c r="FH329" s="84"/>
      <c r="FI329" s="64"/>
      <c r="FJ329" s="8"/>
      <c r="FK329" s="48"/>
      <c r="FL329" s="48"/>
      <c r="FM329" s="48"/>
      <c r="FN329" s="48"/>
      <c r="FO329" s="48"/>
      <c r="FP329" s="48"/>
      <c r="FQ329" s="48"/>
      <c r="FR329" s="48"/>
      <c r="FS329" s="48"/>
      <c r="FT329" s="48"/>
      <c r="FU329" s="48"/>
      <c r="FV329" s="48"/>
      <c r="FW329" s="48"/>
      <c r="FX329" s="48"/>
      <c r="FY329" s="48"/>
      <c r="FZ329" s="48"/>
      <c r="GA329" s="48"/>
      <c r="GB329" s="48"/>
      <c r="GC329" s="48"/>
      <c r="GD329" s="48"/>
      <c r="GE329" s="48"/>
      <c r="GF329" s="48"/>
      <c r="GG329" s="48"/>
      <c r="GH329" s="48"/>
      <c r="GI329" s="48"/>
      <c r="GJ329" s="8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77"/>
      <c r="GY329" s="77"/>
      <c r="GZ329" s="77"/>
    </row>
    <row r="330" spans="1:208">
      <c r="A330" s="48"/>
      <c r="B330" s="49"/>
      <c r="C330" s="50"/>
      <c r="D330" s="51"/>
      <c r="E330" s="50"/>
      <c r="F330" s="52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90"/>
      <c r="V330" s="91"/>
      <c r="W330" s="92"/>
      <c r="X330" s="92"/>
      <c r="Y330" s="92"/>
      <c r="Z330" s="91"/>
      <c r="AA330" s="93"/>
      <c r="AB330" s="99"/>
      <c r="AC330" s="54"/>
      <c r="AD330" s="54"/>
      <c r="AE330" s="54"/>
      <c r="AF330" s="54"/>
      <c r="AG330" s="54"/>
      <c r="AH330" s="54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113"/>
      <c r="BB330" s="110"/>
      <c r="BC330" s="110"/>
      <c r="BD330" s="110"/>
      <c r="BE330" s="110"/>
      <c r="BF330" s="110"/>
      <c r="BG330" s="110"/>
      <c r="BH330" s="110"/>
      <c r="BI330" s="113"/>
      <c r="BJ330" s="110"/>
      <c r="BK330" s="110"/>
      <c r="BL330" s="110"/>
      <c r="BM330" s="110"/>
      <c r="BN330" s="113"/>
      <c r="BO330" s="110"/>
      <c r="BP330" s="110"/>
      <c r="BQ330" s="110"/>
      <c r="BR330" s="110"/>
      <c r="BS330" s="110"/>
      <c r="BT330" s="110"/>
      <c r="BU330" s="110"/>
      <c r="BV330" s="110"/>
      <c r="BW330" s="110"/>
      <c r="BX330" s="113"/>
      <c r="BY330" s="110"/>
      <c r="BZ330" s="110"/>
      <c r="CA330" s="110"/>
      <c r="CB330" s="110"/>
      <c r="CC330" s="110"/>
      <c r="CD330" s="110"/>
      <c r="CE330" s="110"/>
      <c r="CF330" s="110"/>
      <c r="CG330" s="113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66"/>
      <c r="DA330" s="70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56"/>
      <c r="DR330" s="57"/>
      <c r="DS330" s="58"/>
      <c r="DT330" s="58"/>
      <c r="DU330" s="58"/>
      <c r="DV330" s="58"/>
      <c r="DW330" s="58"/>
      <c r="DX330" s="58"/>
      <c r="DY330" s="58"/>
      <c r="DZ330" s="59"/>
      <c r="EA330" s="60"/>
      <c r="EB330" s="61"/>
      <c r="EC330" s="62"/>
      <c r="ED330" s="2"/>
      <c r="EE330" s="63"/>
      <c r="EF330" s="63"/>
      <c r="EG330" s="63"/>
      <c r="EH330" s="63"/>
      <c r="EI330" s="63"/>
      <c r="EJ330" s="63"/>
      <c r="EK330" s="63"/>
      <c r="EL330" s="63"/>
      <c r="EM330" s="63"/>
      <c r="EN330" s="63"/>
      <c r="EO330" s="63"/>
      <c r="EP330" s="63"/>
      <c r="EQ330" s="63"/>
      <c r="ER330" s="63"/>
      <c r="ES330" s="63"/>
      <c r="ET330" s="63"/>
      <c r="EU330" s="80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5"/>
      <c r="FH330" s="84"/>
      <c r="FI330" s="64"/>
      <c r="FJ330" s="8"/>
      <c r="FK330" s="48"/>
      <c r="FL330" s="48"/>
      <c r="FM330" s="48"/>
      <c r="FN330" s="48"/>
      <c r="FO330" s="48"/>
      <c r="FP330" s="48"/>
      <c r="FQ330" s="48"/>
      <c r="FR330" s="48"/>
      <c r="FS330" s="48"/>
      <c r="FT330" s="48"/>
      <c r="FU330" s="48"/>
      <c r="FV330" s="48"/>
      <c r="FW330" s="48"/>
      <c r="FX330" s="48"/>
      <c r="FY330" s="48"/>
      <c r="FZ330" s="48"/>
      <c r="GA330" s="48"/>
      <c r="GB330" s="48"/>
      <c r="GC330" s="48"/>
      <c r="GD330" s="48"/>
      <c r="GE330" s="48"/>
      <c r="GF330" s="48"/>
      <c r="GG330" s="48"/>
      <c r="GH330" s="48"/>
      <c r="GI330" s="48"/>
      <c r="GJ330" s="8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77"/>
      <c r="GY330" s="77"/>
      <c r="GZ330" s="77"/>
    </row>
    <row r="331" spans="1:208">
      <c r="A331" s="48"/>
      <c r="B331" s="49"/>
      <c r="C331" s="50"/>
      <c r="D331" s="51"/>
      <c r="E331" s="50"/>
      <c r="F331" s="52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90"/>
      <c r="V331" s="91"/>
      <c r="W331" s="92"/>
      <c r="X331" s="92"/>
      <c r="Y331" s="92"/>
      <c r="Z331" s="91"/>
      <c r="AA331" s="93"/>
      <c r="AB331" s="99"/>
      <c r="AC331" s="54"/>
      <c r="AD331" s="54"/>
      <c r="AE331" s="54"/>
      <c r="AF331" s="54"/>
      <c r="AG331" s="54"/>
      <c r="AH331" s="54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113"/>
      <c r="BB331" s="110"/>
      <c r="BC331" s="110"/>
      <c r="BD331" s="110"/>
      <c r="BE331" s="110"/>
      <c r="BF331" s="110"/>
      <c r="BG331" s="110"/>
      <c r="BH331" s="110"/>
      <c r="BI331" s="113"/>
      <c r="BJ331" s="110"/>
      <c r="BK331" s="110"/>
      <c r="BL331" s="110"/>
      <c r="BM331" s="110"/>
      <c r="BN331" s="113"/>
      <c r="BO331" s="110"/>
      <c r="BP331" s="110"/>
      <c r="BQ331" s="110"/>
      <c r="BR331" s="110"/>
      <c r="BS331" s="110"/>
      <c r="BT331" s="110"/>
      <c r="BU331" s="110"/>
      <c r="BV331" s="110"/>
      <c r="BW331" s="110"/>
      <c r="BX331" s="113"/>
      <c r="BY331" s="110"/>
      <c r="BZ331" s="110"/>
      <c r="CA331" s="110"/>
      <c r="CB331" s="110"/>
      <c r="CC331" s="110"/>
      <c r="CD331" s="110"/>
      <c r="CE331" s="110"/>
      <c r="CF331" s="110"/>
      <c r="CG331" s="113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66"/>
      <c r="DA331" s="70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56"/>
      <c r="DR331" s="57"/>
      <c r="DS331" s="58"/>
      <c r="DT331" s="58"/>
      <c r="DU331" s="58"/>
      <c r="DV331" s="58"/>
      <c r="DW331" s="58"/>
      <c r="DX331" s="58"/>
      <c r="DY331" s="58"/>
      <c r="DZ331" s="59"/>
      <c r="EA331" s="60"/>
      <c r="EB331" s="61"/>
      <c r="EC331" s="62"/>
      <c r="ED331" s="2"/>
      <c r="EE331" s="63"/>
      <c r="EF331" s="63"/>
      <c r="EG331" s="63"/>
      <c r="EH331" s="63"/>
      <c r="EI331" s="63"/>
      <c r="EJ331" s="63"/>
      <c r="EK331" s="63"/>
      <c r="EL331" s="63"/>
      <c r="EM331" s="63"/>
      <c r="EN331" s="63"/>
      <c r="EO331" s="63"/>
      <c r="EP331" s="63"/>
      <c r="EQ331" s="63"/>
      <c r="ER331" s="63"/>
      <c r="ES331" s="63"/>
      <c r="ET331" s="63"/>
      <c r="EU331" s="80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5"/>
      <c r="FH331" s="84"/>
      <c r="FI331" s="64"/>
      <c r="FJ331" s="8"/>
      <c r="FK331" s="48"/>
      <c r="FL331" s="48"/>
      <c r="FM331" s="48"/>
      <c r="FN331" s="48"/>
      <c r="FO331" s="48"/>
      <c r="FP331" s="48"/>
      <c r="FQ331" s="48"/>
      <c r="FR331" s="48"/>
      <c r="FS331" s="48"/>
      <c r="FT331" s="48"/>
      <c r="FU331" s="48"/>
      <c r="FV331" s="48"/>
      <c r="FW331" s="48"/>
      <c r="FX331" s="48"/>
      <c r="FY331" s="48"/>
      <c r="FZ331" s="48"/>
      <c r="GA331" s="48"/>
      <c r="GB331" s="48"/>
      <c r="GC331" s="48"/>
      <c r="GD331" s="48"/>
      <c r="GE331" s="48"/>
      <c r="GF331" s="48"/>
      <c r="GG331" s="48"/>
      <c r="GH331" s="48"/>
      <c r="GI331" s="48"/>
      <c r="GJ331" s="8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77"/>
      <c r="GY331" s="77"/>
      <c r="GZ331" s="77"/>
    </row>
    <row r="332" spans="1:208">
      <c r="A332" s="48"/>
      <c r="B332" s="49"/>
      <c r="C332" s="50"/>
      <c r="D332" s="51"/>
      <c r="E332" s="50"/>
      <c r="F332" s="52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90"/>
      <c r="V332" s="91"/>
      <c r="W332" s="92"/>
      <c r="X332" s="92"/>
      <c r="Y332" s="92"/>
      <c r="Z332" s="91"/>
      <c r="AA332" s="93"/>
      <c r="AB332" s="99"/>
      <c r="AC332" s="54"/>
      <c r="AD332" s="54"/>
      <c r="AE332" s="54"/>
      <c r="AF332" s="54"/>
      <c r="AG332" s="54"/>
      <c r="AH332" s="54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113"/>
      <c r="BB332" s="110"/>
      <c r="BC332" s="110"/>
      <c r="BD332" s="110"/>
      <c r="BE332" s="110"/>
      <c r="BF332" s="110"/>
      <c r="BG332" s="110"/>
      <c r="BH332" s="110"/>
      <c r="BI332" s="113"/>
      <c r="BJ332" s="110"/>
      <c r="BK332" s="110"/>
      <c r="BL332" s="110"/>
      <c r="BM332" s="110"/>
      <c r="BN332" s="113"/>
      <c r="BO332" s="110"/>
      <c r="BP332" s="110"/>
      <c r="BQ332" s="110"/>
      <c r="BR332" s="110"/>
      <c r="BS332" s="110"/>
      <c r="BT332" s="110"/>
      <c r="BU332" s="110"/>
      <c r="BV332" s="110"/>
      <c r="BW332" s="110"/>
      <c r="BX332" s="113"/>
      <c r="BY332" s="110"/>
      <c r="BZ332" s="110"/>
      <c r="CA332" s="110"/>
      <c r="CB332" s="110"/>
      <c r="CC332" s="110"/>
      <c r="CD332" s="110"/>
      <c r="CE332" s="110"/>
      <c r="CF332" s="110"/>
      <c r="CG332" s="113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66"/>
      <c r="DA332" s="70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56"/>
      <c r="DR332" s="57"/>
      <c r="DS332" s="58"/>
      <c r="DT332" s="58"/>
      <c r="DU332" s="58"/>
      <c r="DV332" s="58"/>
      <c r="DW332" s="58"/>
      <c r="DX332" s="58"/>
      <c r="DY332" s="58"/>
      <c r="DZ332" s="59"/>
      <c r="EA332" s="60"/>
      <c r="EB332" s="61"/>
      <c r="EC332" s="62"/>
      <c r="ED332" s="2"/>
      <c r="EE332" s="63"/>
      <c r="EF332" s="63"/>
      <c r="EG332" s="63"/>
      <c r="EH332" s="63"/>
      <c r="EI332" s="63"/>
      <c r="EJ332" s="63"/>
      <c r="EK332" s="63"/>
      <c r="EL332" s="63"/>
      <c r="EM332" s="63"/>
      <c r="EN332" s="63"/>
      <c r="EO332" s="63"/>
      <c r="EP332" s="63"/>
      <c r="EQ332" s="63"/>
      <c r="ER332" s="63"/>
      <c r="ES332" s="63"/>
      <c r="ET332" s="63"/>
      <c r="EU332" s="80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5"/>
      <c r="FH332" s="84"/>
      <c r="FI332" s="64"/>
      <c r="FJ332" s="8"/>
      <c r="FK332" s="48"/>
      <c r="FL332" s="48"/>
      <c r="FM332" s="48"/>
      <c r="FN332" s="48"/>
      <c r="FO332" s="48"/>
      <c r="FP332" s="48"/>
      <c r="FQ332" s="48"/>
      <c r="FR332" s="48"/>
      <c r="FS332" s="48"/>
      <c r="FT332" s="48"/>
      <c r="FU332" s="48"/>
      <c r="FV332" s="48"/>
      <c r="FW332" s="48"/>
      <c r="FX332" s="48"/>
      <c r="FY332" s="48"/>
      <c r="FZ332" s="48"/>
      <c r="GA332" s="48"/>
      <c r="GB332" s="48"/>
      <c r="GC332" s="48"/>
      <c r="GD332" s="48"/>
      <c r="GE332" s="48"/>
      <c r="GF332" s="48"/>
      <c r="GG332" s="48"/>
      <c r="GH332" s="48"/>
      <c r="GI332" s="48"/>
      <c r="GJ332" s="8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77"/>
      <c r="GY332" s="77"/>
      <c r="GZ332" s="77"/>
    </row>
    <row r="333" spans="1:208">
      <c r="A333" s="48"/>
      <c r="B333" s="49"/>
      <c r="C333" s="50"/>
      <c r="D333" s="51"/>
      <c r="E333" s="50"/>
      <c r="F333" s="52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90"/>
      <c r="V333" s="91"/>
      <c r="W333" s="92"/>
      <c r="X333" s="92"/>
      <c r="Y333" s="92"/>
      <c r="Z333" s="91"/>
      <c r="AA333" s="93"/>
      <c r="AB333" s="99"/>
      <c r="AC333" s="54"/>
      <c r="AD333" s="54"/>
      <c r="AE333" s="54"/>
      <c r="AF333" s="54"/>
      <c r="AG333" s="54"/>
      <c r="AH333" s="54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113"/>
      <c r="BB333" s="110"/>
      <c r="BC333" s="110"/>
      <c r="BD333" s="110"/>
      <c r="BE333" s="110"/>
      <c r="BF333" s="110"/>
      <c r="BG333" s="110"/>
      <c r="BH333" s="110"/>
      <c r="BI333" s="113"/>
      <c r="BJ333" s="110"/>
      <c r="BK333" s="110"/>
      <c r="BL333" s="110"/>
      <c r="BM333" s="110"/>
      <c r="BN333" s="113"/>
      <c r="BO333" s="110"/>
      <c r="BP333" s="110"/>
      <c r="BQ333" s="110"/>
      <c r="BR333" s="110"/>
      <c r="BS333" s="110"/>
      <c r="BT333" s="110"/>
      <c r="BU333" s="110"/>
      <c r="BV333" s="110"/>
      <c r="BW333" s="110"/>
      <c r="BX333" s="113"/>
      <c r="BY333" s="110"/>
      <c r="BZ333" s="110"/>
      <c r="CA333" s="110"/>
      <c r="CB333" s="110"/>
      <c r="CC333" s="110"/>
      <c r="CD333" s="110"/>
      <c r="CE333" s="110"/>
      <c r="CF333" s="110"/>
      <c r="CG333" s="113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66"/>
      <c r="DA333" s="70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56"/>
      <c r="DR333" s="57"/>
      <c r="DS333" s="58"/>
      <c r="DT333" s="58"/>
      <c r="DU333" s="58"/>
      <c r="DV333" s="58"/>
      <c r="DW333" s="58"/>
      <c r="DX333" s="58"/>
      <c r="DY333" s="58"/>
      <c r="DZ333" s="59"/>
      <c r="EA333" s="60"/>
      <c r="EB333" s="61"/>
      <c r="EC333" s="62"/>
      <c r="ED333" s="2"/>
      <c r="EE333" s="63"/>
      <c r="EF333" s="63"/>
      <c r="EG333" s="63"/>
      <c r="EH333" s="63"/>
      <c r="EI333" s="63"/>
      <c r="EJ333" s="63"/>
      <c r="EK333" s="63"/>
      <c r="EL333" s="63"/>
      <c r="EM333" s="63"/>
      <c r="EN333" s="63"/>
      <c r="EO333" s="63"/>
      <c r="EP333" s="63"/>
      <c r="EQ333" s="63"/>
      <c r="ER333" s="63"/>
      <c r="ES333" s="63"/>
      <c r="ET333" s="63"/>
      <c r="EU333" s="80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5"/>
      <c r="FH333" s="84"/>
      <c r="FI333" s="64"/>
      <c r="FJ333" s="8"/>
      <c r="FK333" s="48"/>
      <c r="FL333" s="48"/>
      <c r="FM333" s="48"/>
      <c r="FN333" s="48"/>
      <c r="FO333" s="48"/>
      <c r="FP333" s="48"/>
      <c r="FQ333" s="48"/>
      <c r="FR333" s="48"/>
      <c r="FS333" s="48"/>
      <c r="FT333" s="48"/>
      <c r="FU333" s="48"/>
      <c r="FV333" s="48"/>
      <c r="FW333" s="48"/>
      <c r="FX333" s="48"/>
      <c r="FY333" s="48"/>
      <c r="FZ333" s="48"/>
      <c r="GA333" s="48"/>
      <c r="GB333" s="48"/>
      <c r="GC333" s="48"/>
      <c r="GD333" s="48"/>
      <c r="GE333" s="48"/>
      <c r="GF333" s="48"/>
      <c r="GG333" s="48"/>
      <c r="GH333" s="48"/>
      <c r="GI333" s="48"/>
      <c r="GJ333" s="8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77"/>
      <c r="GY333" s="77"/>
      <c r="GZ333" s="77"/>
    </row>
    <row r="334" spans="1:208">
      <c r="A334" s="48"/>
      <c r="B334" s="49"/>
      <c r="C334" s="50"/>
      <c r="D334" s="51"/>
      <c r="E334" s="50"/>
      <c r="F334" s="52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90"/>
      <c r="V334" s="91"/>
      <c r="W334" s="92"/>
      <c r="X334" s="92"/>
      <c r="Y334" s="92"/>
      <c r="Z334" s="91"/>
      <c r="AA334" s="93"/>
      <c r="AB334" s="99"/>
      <c r="AC334" s="54"/>
      <c r="AD334" s="54"/>
      <c r="AE334" s="54"/>
      <c r="AF334" s="54"/>
      <c r="AG334" s="54"/>
      <c r="AH334" s="54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113"/>
      <c r="BB334" s="110"/>
      <c r="BC334" s="110"/>
      <c r="BD334" s="110"/>
      <c r="BE334" s="110"/>
      <c r="BF334" s="110"/>
      <c r="BG334" s="110"/>
      <c r="BH334" s="110"/>
      <c r="BI334" s="113"/>
      <c r="BJ334" s="110"/>
      <c r="BK334" s="110"/>
      <c r="BL334" s="110"/>
      <c r="BM334" s="110"/>
      <c r="BN334" s="113"/>
      <c r="BO334" s="110"/>
      <c r="BP334" s="110"/>
      <c r="BQ334" s="110"/>
      <c r="BR334" s="110"/>
      <c r="BS334" s="110"/>
      <c r="BT334" s="110"/>
      <c r="BU334" s="110"/>
      <c r="BV334" s="110"/>
      <c r="BW334" s="110"/>
      <c r="BX334" s="113"/>
      <c r="BY334" s="110"/>
      <c r="BZ334" s="110"/>
      <c r="CA334" s="110"/>
      <c r="CB334" s="110"/>
      <c r="CC334" s="110"/>
      <c r="CD334" s="110"/>
      <c r="CE334" s="110"/>
      <c r="CF334" s="110"/>
      <c r="CG334" s="113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66"/>
      <c r="DA334" s="70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56"/>
      <c r="DR334" s="57"/>
      <c r="DS334" s="58"/>
      <c r="DT334" s="58"/>
      <c r="DU334" s="58"/>
      <c r="DV334" s="58"/>
      <c r="DW334" s="58"/>
      <c r="DX334" s="58"/>
      <c r="DY334" s="58"/>
      <c r="DZ334" s="59"/>
      <c r="EA334" s="60"/>
      <c r="EB334" s="61"/>
      <c r="EC334" s="62"/>
      <c r="ED334" s="2"/>
      <c r="EE334" s="63"/>
      <c r="EF334" s="63"/>
      <c r="EG334" s="63"/>
      <c r="EH334" s="63"/>
      <c r="EI334" s="63"/>
      <c r="EJ334" s="63"/>
      <c r="EK334" s="63"/>
      <c r="EL334" s="63"/>
      <c r="EM334" s="63"/>
      <c r="EN334" s="63"/>
      <c r="EO334" s="63"/>
      <c r="EP334" s="63"/>
      <c r="EQ334" s="63"/>
      <c r="ER334" s="63"/>
      <c r="ES334" s="63"/>
      <c r="ET334" s="63"/>
      <c r="EU334" s="80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5"/>
      <c r="FH334" s="84"/>
      <c r="FI334" s="64"/>
      <c r="FJ334" s="8"/>
      <c r="FK334" s="48"/>
      <c r="FL334" s="48"/>
      <c r="FM334" s="48"/>
      <c r="FN334" s="48"/>
      <c r="FO334" s="48"/>
      <c r="FP334" s="48"/>
      <c r="FQ334" s="48"/>
      <c r="FR334" s="48"/>
      <c r="FS334" s="48"/>
      <c r="FT334" s="48"/>
      <c r="FU334" s="48"/>
      <c r="FV334" s="48"/>
      <c r="FW334" s="48"/>
      <c r="FX334" s="48"/>
      <c r="FY334" s="48"/>
      <c r="FZ334" s="48"/>
      <c r="GA334" s="48"/>
      <c r="GB334" s="48"/>
      <c r="GC334" s="48"/>
      <c r="GD334" s="48"/>
      <c r="GE334" s="48"/>
      <c r="GF334" s="48"/>
      <c r="GG334" s="48"/>
      <c r="GH334" s="48"/>
      <c r="GI334" s="48"/>
      <c r="GJ334" s="8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77"/>
      <c r="GY334" s="77"/>
      <c r="GZ334" s="77"/>
    </row>
    <row r="335" spans="1:208">
      <c r="A335" s="48"/>
      <c r="B335" s="49"/>
      <c r="C335" s="50"/>
      <c r="D335" s="51"/>
      <c r="E335" s="50"/>
      <c r="F335" s="52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90"/>
      <c r="V335" s="91"/>
      <c r="W335" s="92"/>
      <c r="X335" s="92"/>
      <c r="Y335" s="92"/>
      <c r="Z335" s="91"/>
      <c r="AA335" s="93"/>
      <c r="AB335" s="99"/>
      <c r="AC335" s="54"/>
      <c r="AD335" s="54"/>
      <c r="AE335" s="54"/>
      <c r="AF335" s="54"/>
      <c r="AG335" s="54"/>
      <c r="AH335" s="54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113"/>
      <c r="BB335" s="110"/>
      <c r="BC335" s="110"/>
      <c r="BD335" s="110"/>
      <c r="BE335" s="110"/>
      <c r="BF335" s="110"/>
      <c r="BG335" s="110"/>
      <c r="BH335" s="110"/>
      <c r="BI335" s="113"/>
      <c r="BJ335" s="110"/>
      <c r="BK335" s="110"/>
      <c r="BL335" s="110"/>
      <c r="BM335" s="110"/>
      <c r="BN335" s="113"/>
      <c r="BO335" s="110"/>
      <c r="BP335" s="110"/>
      <c r="BQ335" s="110"/>
      <c r="BR335" s="110"/>
      <c r="BS335" s="110"/>
      <c r="BT335" s="110"/>
      <c r="BU335" s="110"/>
      <c r="BV335" s="110"/>
      <c r="BW335" s="110"/>
      <c r="BX335" s="113"/>
      <c r="BY335" s="110"/>
      <c r="BZ335" s="110"/>
      <c r="CA335" s="110"/>
      <c r="CB335" s="110"/>
      <c r="CC335" s="110"/>
      <c r="CD335" s="110"/>
      <c r="CE335" s="110"/>
      <c r="CF335" s="110"/>
      <c r="CG335" s="113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66"/>
      <c r="DA335" s="70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56"/>
      <c r="DR335" s="57"/>
      <c r="DS335" s="58"/>
      <c r="DT335" s="58"/>
      <c r="DU335" s="58"/>
      <c r="DV335" s="58"/>
      <c r="DW335" s="58"/>
      <c r="DX335" s="58"/>
      <c r="DY335" s="58"/>
      <c r="DZ335" s="59"/>
      <c r="EA335" s="60"/>
      <c r="EB335" s="61"/>
      <c r="EC335" s="62"/>
      <c r="ED335" s="2"/>
      <c r="EE335" s="63"/>
      <c r="EF335" s="63"/>
      <c r="EG335" s="63"/>
      <c r="EH335" s="63"/>
      <c r="EI335" s="63"/>
      <c r="EJ335" s="63"/>
      <c r="EK335" s="63"/>
      <c r="EL335" s="63"/>
      <c r="EM335" s="63"/>
      <c r="EN335" s="63"/>
      <c r="EO335" s="63"/>
      <c r="EP335" s="63"/>
      <c r="EQ335" s="63"/>
      <c r="ER335" s="63"/>
      <c r="ES335" s="63"/>
      <c r="ET335" s="63"/>
      <c r="EU335" s="80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5"/>
      <c r="FH335" s="84"/>
      <c r="FI335" s="64"/>
      <c r="FJ335" s="8"/>
      <c r="FK335" s="48"/>
      <c r="FL335" s="48"/>
      <c r="FM335" s="48"/>
      <c r="FN335" s="48"/>
      <c r="FO335" s="48"/>
      <c r="FP335" s="48"/>
      <c r="FQ335" s="48"/>
      <c r="FR335" s="48"/>
      <c r="FS335" s="48"/>
      <c r="FT335" s="48"/>
      <c r="FU335" s="48"/>
      <c r="FV335" s="48"/>
      <c r="FW335" s="48"/>
      <c r="FX335" s="48"/>
      <c r="FY335" s="48"/>
      <c r="FZ335" s="48"/>
      <c r="GA335" s="48"/>
      <c r="GB335" s="48"/>
      <c r="GC335" s="48"/>
      <c r="GD335" s="48"/>
      <c r="GE335" s="48"/>
      <c r="GF335" s="48"/>
      <c r="GG335" s="48"/>
      <c r="GH335" s="48"/>
      <c r="GI335" s="48"/>
      <c r="GJ335" s="8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77"/>
      <c r="GY335" s="77"/>
      <c r="GZ335" s="77"/>
    </row>
    <row r="336" spans="1:208">
      <c r="A336" s="48"/>
      <c r="B336" s="49"/>
      <c r="C336" s="50"/>
      <c r="D336" s="51"/>
      <c r="E336" s="50"/>
      <c r="F336" s="52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90"/>
      <c r="V336" s="91"/>
      <c r="W336" s="92"/>
      <c r="X336" s="92"/>
      <c r="Y336" s="92"/>
      <c r="Z336" s="91"/>
      <c r="AA336" s="93"/>
      <c r="AB336" s="99"/>
      <c r="AC336" s="54"/>
      <c r="AD336" s="54"/>
      <c r="AE336" s="54"/>
      <c r="AF336" s="54"/>
      <c r="AG336" s="54"/>
      <c r="AH336" s="54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113"/>
      <c r="BB336" s="110"/>
      <c r="BC336" s="110"/>
      <c r="BD336" s="110"/>
      <c r="BE336" s="110"/>
      <c r="BF336" s="110"/>
      <c r="BG336" s="110"/>
      <c r="BH336" s="110"/>
      <c r="BI336" s="113"/>
      <c r="BJ336" s="110"/>
      <c r="BK336" s="110"/>
      <c r="BL336" s="110"/>
      <c r="BM336" s="110"/>
      <c r="BN336" s="113"/>
      <c r="BO336" s="110"/>
      <c r="BP336" s="110"/>
      <c r="BQ336" s="110"/>
      <c r="BR336" s="110"/>
      <c r="BS336" s="110"/>
      <c r="BT336" s="110"/>
      <c r="BU336" s="110"/>
      <c r="BV336" s="110"/>
      <c r="BW336" s="110"/>
      <c r="BX336" s="113"/>
      <c r="BY336" s="110"/>
      <c r="BZ336" s="110"/>
      <c r="CA336" s="110"/>
      <c r="CB336" s="110"/>
      <c r="CC336" s="110"/>
      <c r="CD336" s="110"/>
      <c r="CE336" s="110"/>
      <c r="CF336" s="110"/>
      <c r="CG336" s="113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66"/>
      <c r="DA336" s="70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56"/>
      <c r="DR336" s="57"/>
      <c r="DS336" s="58"/>
      <c r="DT336" s="58"/>
      <c r="DU336" s="58"/>
      <c r="DV336" s="58"/>
      <c r="DW336" s="58"/>
      <c r="DX336" s="58"/>
      <c r="DY336" s="58"/>
      <c r="DZ336" s="59"/>
      <c r="EA336" s="60"/>
      <c r="EB336" s="61"/>
      <c r="EC336" s="62"/>
      <c r="ED336" s="2"/>
      <c r="EE336" s="63"/>
      <c r="EF336" s="63"/>
      <c r="EG336" s="63"/>
      <c r="EH336" s="63"/>
      <c r="EI336" s="63"/>
      <c r="EJ336" s="63"/>
      <c r="EK336" s="63"/>
      <c r="EL336" s="63"/>
      <c r="EM336" s="63"/>
      <c r="EN336" s="63"/>
      <c r="EO336" s="63"/>
      <c r="EP336" s="63"/>
      <c r="EQ336" s="63"/>
      <c r="ER336" s="63"/>
      <c r="ES336" s="63"/>
      <c r="ET336" s="63"/>
      <c r="EU336" s="80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5"/>
      <c r="FH336" s="84"/>
      <c r="FI336" s="64"/>
      <c r="FJ336" s="8"/>
      <c r="FK336" s="48"/>
      <c r="FL336" s="48"/>
      <c r="FM336" s="48"/>
      <c r="FN336" s="48"/>
      <c r="FO336" s="48"/>
      <c r="FP336" s="48"/>
      <c r="FQ336" s="48"/>
      <c r="FR336" s="48"/>
      <c r="FS336" s="48"/>
      <c r="FT336" s="48"/>
      <c r="FU336" s="48"/>
      <c r="FV336" s="48"/>
      <c r="FW336" s="48"/>
      <c r="FX336" s="48"/>
      <c r="FY336" s="48"/>
      <c r="FZ336" s="48"/>
      <c r="GA336" s="48"/>
      <c r="GB336" s="48"/>
      <c r="GC336" s="48"/>
      <c r="GD336" s="48"/>
      <c r="GE336" s="48"/>
      <c r="GF336" s="48"/>
      <c r="GG336" s="48"/>
      <c r="GH336" s="48"/>
      <c r="GI336" s="48"/>
      <c r="GJ336" s="8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77"/>
      <c r="GY336" s="77"/>
      <c r="GZ336" s="77"/>
    </row>
    <row r="337" spans="1:208">
      <c r="A337" s="48"/>
      <c r="B337" s="49"/>
      <c r="C337" s="50"/>
      <c r="D337" s="51"/>
      <c r="E337" s="50"/>
      <c r="F337" s="52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90"/>
      <c r="V337" s="91"/>
      <c r="W337" s="92"/>
      <c r="X337" s="92"/>
      <c r="Y337" s="92"/>
      <c r="Z337" s="91"/>
      <c r="AA337" s="93"/>
      <c r="AB337" s="99"/>
      <c r="AC337" s="54"/>
      <c r="AD337" s="54"/>
      <c r="AE337" s="54"/>
      <c r="AF337" s="54"/>
      <c r="AG337" s="54"/>
      <c r="AH337" s="54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113"/>
      <c r="BB337" s="110"/>
      <c r="BC337" s="110"/>
      <c r="BD337" s="110"/>
      <c r="BE337" s="110"/>
      <c r="BF337" s="110"/>
      <c r="BG337" s="110"/>
      <c r="BH337" s="110"/>
      <c r="BI337" s="113"/>
      <c r="BJ337" s="110"/>
      <c r="BK337" s="110"/>
      <c r="BL337" s="110"/>
      <c r="BM337" s="110"/>
      <c r="BN337" s="113"/>
      <c r="BO337" s="110"/>
      <c r="BP337" s="110"/>
      <c r="BQ337" s="110"/>
      <c r="BR337" s="110"/>
      <c r="BS337" s="110"/>
      <c r="BT337" s="110"/>
      <c r="BU337" s="110"/>
      <c r="BV337" s="110"/>
      <c r="BW337" s="110"/>
      <c r="BX337" s="113"/>
      <c r="BY337" s="110"/>
      <c r="BZ337" s="110"/>
      <c r="CA337" s="110"/>
      <c r="CB337" s="110"/>
      <c r="CC337" s="110"/>
      <c r="CD337" s="110"/>
      <c r="CE337" s="110"/>
      <c r="CF337" s="110"/>
      <c r="CG337" s="113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66"/>
      <c r="DA337" s="70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56"/>
      <c r="DR337" s="57"/>
      <c r="DS337" s="58"/>
      <c r="DT337" s="58"/>
      <c r="DU337" s="58"/>
      <c r="DV337" s="58"/>
      <c r="DW337" s="58"/>
      <c r="DX337" s="58"/>
      <c r="DY337" s="58"/>
      <c r="DZ337" s="59"/>
      <c r="EA337" s="60"/>
      <c r="EB337" s="61"/>
      <c r="EC337" s="62"/>
      <c r="ED337" s="2"/>
      <c r="EE337" s="63"/>
      <c r="EF337" s="63"/>
      <c r="EG337" s="63"/>
      <c r="EH337" s="63"/>
      <c r="EI337" s="63"/>
      <c r="EJ337" s="63"/>
      <c r="EK337" s="63"/>
      <c r="EL337" s="63"/>
      <c r="EM337" s="63"/>
      <c r="EN337" s="63"/>
      <c r="EO337" s="63"/>
      <c r="EP337" s="63"/>
      <c r="EQ337" s="63"/>
      <c r="ER337" s="63"/>
      <c r="ES337" s="63"/>
      <c r="ET337" s="63"/>
      <c r="EU337" s="80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5"/>
      <c r="FH337" s="84"/>
      <c r="FI337" s="64"/>
      <c r="FJ337" s="8"/>
      <c r="FK337" s="48"/>
      <c r="FL337" s="48"/>
      <c r="FM337" s="48"/>
      <c r="FN337" s="48"/>
      <c r="FO337" s="48"/>
      <c r="FP337" s="48"/>
      <c r="FQ337" s="48"/>
      <c r="FR337" s="48"/>
      <c r="FS337" s="48"/>
      <c r="FT337" s="48"/>
      <c r="FU337" s="48"/>
      <c r="FV337" s="48"/>
      <c r="FW337" s="48"/>
      <c r="FX337" s="48"/>
      <c r="FY337" s="48"/>
      <c r="FZ337" s="48"/>
      <c r="GA337" s="48"/>
      <c r="GB337" s="48"/>
      <c r="GC337" s="48"/>
      <c r="GD337" s="48"/>
      <c r="GE337" s="48"/>
      <c r="GF337" s="48"/>
      <c r="GG337" s="48"/>
      <c r="GH337" s="48"/>
      <c r="GI337" s="48"/>
      <c r="GJ337" s="8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77"/>
      <c r="GY337" s="77"/>
      <c r="GZ337" s="77"/>
    </row>
    <row r="338" spans="1:208">
      <c r="A338" s="48"/>
      <c r="B338" s="49"/>
      <c r="C338" s="50"/>
      <c r="D338" s="51"/>
      <c r="E338" s="50"/>
      <c r="F338" s="52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90"/>
      <c r="V338" s="91"/>
      <c r="W338" s="92"/>
      <c r="X338" s="92"/>
      <c r="Y338" s="92"/>
      <c r="Z338" s="91"/>
      <c r="AA338" s="93"/>
      <c r="AB338" s="99"/>
      <c r="AC338" s="54"/>
      <c r="AD338" s="54"/>
      <c r="AE338" s="54"/>
      <c r="AF338" s="54"/>
      <c r="AG338" s="54"/>
      <c r="AH338" s="54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113"/>
      <c r="BB338" s="110"/>
      <c r="BC338" s="110"/>
      <c r="BD338" s="110"/>
      <c r="BE338" s="110"/>
      <c r="BF338" s="110"/>
      <c r="BG338" s="110"/>
      <c r="BH338" s="110"/>
      <c r="BI338" s="113"/>
      <c r="BJ338" s="110"/>
      <c r="BK338" s="110"/>
      <c r="BL338" s="110"/>
      <c r="BM338" s="110"/>
      <c r="BN338" s="113"/>
      <c r="BO338" s="110"/>
      <c r="BP338" s="110"/>
      <c r="BQ338" s="110"/>
      <c r="BR338" s="110"/>
      <c r="BS338" s="110"/>
      <c r="BT338" s="110"/>
      <c r="BU338" s="110"/>
      <c r="BV338" s="110"/>
      <c r="BW338" s="110"/>
      <c r="BX338" s="113"/>
      <c r="BY338" s="110"/>
      <c r="BZ338" s="110"/>
      <c r="CA338" s="110"/>
      <c r="CB338" s="110"/>
      <c r="CC338" s="110"/>
      <c r="CD338" s="110"/>
      <c r="CE338" s="110"/>
      <c r="CF338" s="110"/>
      <c r="CG338" s="113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66"/>
      <c r="DA338" s="70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56"/>
      <c r="DR338" s="57"/>
      <c r="DS338" s="58"/>
      <c r="DT338" s="58"/>
      <c r="DU338" s="58"/>
      <c r="DV338" s="58"/>
      <c r="DW338" s="58"/>
      <c r="DX338" s="58"/>
      <c r="DY338" s="58"/>
      <c r="DZ338" s="59"/>
      <c r="EA338" s="60"/>
      <c r="EB338" s="61"/>
      <c r="EC338" s="62"/>
      <c r="ED338" s="2"/>
      <c r="EE338" s="63"/>
      <c r="EF338" s="63"/>
      <c r="EG338" s="63"/>
      <c r="EH338" s="63"/>
      <c r="EI338" s="63"/>
      <c r="EJ338" s="63"/>
      <c r="EK338" s="63"/>
      <c r="EL338" s="63"/>
      <c r="EM338" s="63"/>
      <c r="EN338" s="63"/>
      <c r="EO338" s="63"/>
      <c r="EP338" s="63"/>
      <c r="EQ338" s="63"/>
      <c r="ER338" s="63"/>
      <c r="ES338" s="63"/>
      <c r="ET338" s="63"/>
      <c r="EU338" s="80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5"/>
      <c r="FH338" s="84"/>
      <c r="FI338" s="64"/>
      <c r="FJ338" s="8"/>
      <c r="FK338" s="48"/>
      <c r="FL338" s="48"/>
      <c r="FM338" s="48"/>
      <c r="FN338" s="48"/>
      <c r="FO338" s="48"/>
      <c r="FP338" s="48"/>
      <c r="FQ338" s="48"/>
      <c r="FR338" s="48"/>
      <c r="FS338" s="48"/>
      <c r="FT338" s="48"/>
      <c r="FU338" s="48"/>
      <c r="FV338" s="48"/>
      <c r="FW338" s="48"/>
      <c r="FX338" s="48"/>
      <c r="FY338" s="48"/>
      <c r="FZ338" s="48"/>
      <c r="GA338" s="48"/>
      <c r="GB338" s="48"/>
      <c r="GC338" s="48"/>
      <c r="GD338" s="48"/>
      <c r="GE338" s="48"/>
      <c r="GF338" s="48"/>
      <c r="GG338" s="48"/>
      <c r="GH338" s="48"/>
      <c r="GI338" s="48"/>
      <c r="GJ338" s="8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77"/>
      <c r="GY338" s="77"/>
      <c r="GZ338" s="77"/>
    </row>
    <row r="339" spans="1:208">
      <c r="A339" s="48"/>
      <c r="B339" s="49"/>
      <c r="C339" s="50"/>
      <c r="D339" s="51"/>
      <c r="E339" s="50"/>
      <c r="F339" s="52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90"/>
      <c r="V339" s="91"/>
      <c r="W339" s="92"/>
      <c r="X339" s="92"/>
      <c r="Y339" s="92"/>
      <c r="Z339" s="91"/>
      <c r="AA339" s="93"/>
      <c r="AB339" s="99"/>
      <c r="AC339" s="54"/>
      <c r="AD339" s="54"/>
      <c r="AE339" s="54"/>
      <c r="AF339" s="54"/>
      <c r="AG339" s="54"/>
      <c r="AH339" s="54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113"/>
      <c r="BB339" s="110"/>
      <c r="BC339" s="110"/>
      <c r="BD339" s="110"/>
      <c r="BE339" s="110"/>
      <c r="BF339" s="110"/>
      <c r="BG339" s="110"/>
      <c r="BH339" s="110"/>
      <c r="BI339" s="113"/>
      <c r="BJ339" s="110"/>
      <c r="BK339" s="110"/>
      <c r="BL339" s="110"/>
      <c r="BM339" s="110"/>
      <c r="BN339" s="113"/>
      <c r="BO339" s="110"/>
      <c r="BP339" s="110"/>
      <c r="BQ339" s="110"/>
      <c r="BR339" s="110"/>
      <c r="BS339" s="110"/>
      <c r="BT339" s="110"/>
      <c r="BU339" s="110"/>
      <c r="BV339" s="110"/>
      <c r="BW339" s="110"/>
      <c r="BX339" s="113"/>
      <c r="BY339" s="110"/>
      <c r="BZ339" s="110"/>
      <c r="CA339" s="110"/>
      <c r="CB339" s="110"/>
      <c r="CC339" s="110"/>
      <c r="CD339" s="110"/>
      <c r="CE339" s="110"/>
      <c r="CF339" s="110"/>
      <c r="CG339" s="113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66"/>
      <c r="DA339" s="70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56"/>
      <c r="DR339" s="57"/>
      <c r="DS339" s="58"/>
      <c r="DT339" s="58"/>
      <c r="DU339" s="58"/>
      <c r="DV339" s="58"/>
      <c r="DW339" s="58"/>
      <c r="DX339" s="58"/>
      <c r="DY339" s="58"/>
      <c r="DZ339" s="59"/>
      <c r="EA339" s="60"/>
      <c r="EB339" s="61"/>
      <c r="EC339" s="62"/>
      <c r="ED339" s="2"/>
      <c r="EE339" s="63"/>
      <c r="EF339" s="63"/>
      <c r="EG339" s="63"/>
      <c r="EH339" s="63"/>
      <c r="EI339" s="63"/>
      <c r="EJ339" s="63"/>
      <c r="EK339" s="63"/>
      <c r="EL339" s="63"/>
      <c r="EM339" s="63"/>
      <c r="EN339" s="63"/>
      <c r="EO339" s="63"/>
      <c r="EP339" s="63"/>
      <c r="EQ339" s="63"/>
      <c r="ER339" s="63"/>
      <c r="ES339" s="63"/>
      <c r="ET339" s="63"/>
      <c r="EU339" s="80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5"/>
      <c r="FH339" s="84"/>
      <c r="FI339" s="64"/>
      <c r="FJ339" s="8"/>
      <c r="FK339" s="48"/>
      <c r="FL339" s="48"/>
      <c r="FM339" s="48"/>
      <c r="FN339" s="48"/>
      <c r="FO339" s="48"/>
      <c r="FP339" s="48"/>
      <c r="FQ339" s="48"/>
      <c r="FR339" s="48"/>
      <c r="FS339" s="48"/>
      <c r="FT339" s="48"/>
      <c r="FU339" s="48"/>
      <c r="FV339" s="48"/>
      <c r="FW339" s="48"/>
      <c r="FX339" s="48"/>
      <c r="FY339" s="48"/>
      <c r="FZ339" s="48"/>
      <c r="GA339" s="48"/>
      <c r="GB339" s="48"/>
      <c r="GC339" s="48"/>
      <c r="GD339" s="48"/>
      <c r="GE339" s="48"/>
      <c r="GF339" s="48"/>
      <c r="GG339" s="48"/>
      <c r="GH339" s="48"/>
      <c r="GI339" s="48"/>
      <c r="GJ339" s="8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77"/>
      <c r="GY339" s="77"/>
      <c r="GZ339" s="77"/>
    </row>
    <row r="340" spans="1:208">
      <c r="A340" s="48"/>
      <c r="B340" s="49"/>
      <c r="C340" s="50"/>
      <c r="D340" s="51"/>
      <c r="E340" s="50"/>
      <c r="F340" s="52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90"/>
      <c r="V340" s="91"/>
      <c r="W340" s="92"/>
      <c r="X340" s="92"/>
      <c r="Y340" s="92"/>
      <c r="Z340" s="91"/>
      <c r="AA340" s="93"/>
      <c r="AB340" s="99"/>
      <c r="AC340" s="54"/>
      <c r="AD340" s="54"/>
      <c r="AE340" s="54"/>
      <c r="AF340" s="54"/>
      <c r="AG340" s="54"/>
      <c r="AH340" s="54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113"/>
      <c r="BB340" s="110"/>
      <c r="BC340" s="110"/>
      <c r="BD340" s="110"/>
      <c r="BE340" s="110"/>
      <c r="BF340" s="110"/>
      <c r="BG340" s="110"/>
      <c r="BH340" s="110"/>
      <c r="BI340" s="113"/>
      <c r="BJ340" s="110"/>
      <c r="BK340" s="110"/>
      <c r="BL340" s="110"/>
      <c r="BM340" s="110"/>
      <c r="BN340" s="113"/>
      <c r="BO340" s="110"/>
      <c r="BP340" s="110"/>
      <c r="BQ340" s="110"/>
      <c r="BR340" s="110"/>
      <c r="BS340" s="110"/>
      <c r="BT340" s="110"/>
      <c r="BU340" s="110"/>
      <c r="BV340" s="110"/>
      <c r="BW340" s="110"/>
      <c r="BX340" s="113"/>
      <c r="BY340" s="110"/>
      <c r="BZ340" s="110"/>
      <c r="CA340" s="110"/>
      <c r="CB340" s="110"/>
      <c r="CC340" s="110"/>
      <c r="CD340" s="110"/>
      <c r="CE340" s="110"/>
      <c r="CF340" s="110"/>
      <c r="CG340" s="113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66"/>
      <c r="DA340" s="70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56"/>
      <c r="DR340" s="57"/>
      <c r="DS340" s="58"/>
      <c r="DT340" s="58"/>
      <c r="DU340" s="58"/>
      <c r="DV340" s="58"/>
      <c r="DW340" s="58"/>
      <c r="DX340" s="58"/>
      <c r="DY340" s="58"/>
      <c r="DZ340" s="59"/>
      <c r="EA340" s="60"/>
      <c r="EB340" s="61"/>
      <c r="EC340" s="62"/>
      <c r="ED340" s="2"/>
      <c r="EE340" s="63"/>
      <c r="EF340" s="63"/>
      <c r="EG340" s="63"/>
      <c r="EH340" s="63"/>
      <c r="EI340" s="63"/>
      <c r="EJ340" s="63"/>
      <c r="EK340" s="63"/>
      <c r="EL340" s="63"/>
      <c r="EM340" s="63"/>
      <c r="EN340" s="63"/>
      <c r="EO340" s="63"/>
      <c r="EP340" s="63"/>
      <c r="EQ340" s="63"/>
      <c r="ER340" s="63"/>
      <c r="ES340" s="63"/>
      <c r="ET340" s="63"/>
      <c r="EU340" s="80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5"/>
      <c r="FH340" s="84"/>
      <c r="FI340" s="64"/>
      <c r="FJ340" s="8"/>
      <c r="FK340" s="48"/>
      <c r="FL340" s="48"/>
      <c r="FM340" s="48"/>
      <c r="FN340" s="48"/>
      <c r="FO340" s="48"/>
      <c r="FP340" s="48"/>
      <c r="FQ340" s="48"/>
      <c r="FR340" s="48"/>
      <c r="FS340" s="48"/>
      <c r="FT340" s="48"/>
      <c r="FU340" s="48"/>
      <c r="FV340" s="48"/>
      <c r="FW340" s="48"/>
      <c r="FX340" s="48"/>
      <c r="FY340" s="48"/>
      <c r="FZ340" s="48"/>
      <c r="GA340" s="48"/>
      <c r="GB340" s="48"/>
      <c r="GC340" s="48"/>
      <c r="GD340" s="48"/>
      <c r="GE340" s="48"/>
      <c r="GF340" s="48"/>
      <c r="GG340" s="48"/>
      <c r="GH340" s="48"/>
      <c r="GI340" s="48"/>
      <c r="GJ340" s="8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77"/>
      <c r="GY340" s="77"/>
      <c r="GZ340" s="77"/>
    </row>
    <row r="341" spans="1:208">
      <c r="A341" s="48"/>
      <c r="B341" s="49"/>
      <c r="C341" s="50"/>
      <c r="D341" s="51"/>
      <c r="E341" s="50"/>
      <c r="F341" s="52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90"/>
      <c r="V341" s="91"/>
      <c r="W341" s="92"/>
      <c r="X341" s="92"/>
      <c r="Y341" s="92"/>
      <c r="Z341" s="91"/>
      <c r="AA341" s="93"/>
      <c r="AB341" s="99"/>
      <c r="AC341" s="54"/>
      <c r="AD341" s="54"/>
      <c r="AE341" s="54"/>
      <c r="AF341" s="54"/>
      <c r="AG341" s="54"/>
      <c r="AH341" s="54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113"/>
      <c r="BB341" s="110"/>
      <c r="BC341" s="110"/>
      <c r="BD341" s="110"/>
      <c r="BE341" s="110"/>
      <c r="BF341" s="110"/>
      <c r="BG341" s="110"/>
      <c r="BH341" s="110"/>
      <c r="BI341" s="113"/>
      <c r="BJ341" s="110"/>
      <c r="BK341" s="110"/>
      <c r="BL341" s="110"/>
      <c r="BM341" s="110"/>
      <c r="BN341" s="113"/>
      <c r="BO341" s="110"/>
      <c r="BP341" s="110"/>
      <c r="BQ341" s="110"/>
      <c r="BR341" s="110"/>
      <c r="BS341" s="110"/>
      <c r="BT341" s="110"/>
      <c r="BU341" s="110"/>
      <c r="BV341" s="110"/>
      <c r="BW341" s="110"/>
      <c r="BX341" s="113"/>
      <c r="BY341" s="110"/>
      <c r="BZ341" s="110"/>
      <c r="CA341" s="110"/>
      <c r="CB341" s="110"/>
      <c r="CC341" s="110"/>
      <c r="CD341" s="110"/>
      <c r="CE341" s="110"/>
      <c r="CF341" s="110"/>
      <c r="CG341" s="113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66"/>
      <c r="DA341" s="70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56"/>
      <c r="DR341" s="57"/>
      <c r="DS341" s="58"/>
      <c r="DT341" s="58"/>
      <c r="DU341" s="58"/>
      <c r="DV341" s="58"/>
      <c r="DW341" s="58"/>
      <c r="DX341" s="58"/>
      <c r="DY341" s="58"/>
      <c r="DZ341" s="59"/>
      <c r="EA341" s="60"/>
      <c r="EB341" s="61"/>
      <c r="EC341" s="62"/>
      <c r="ED341" s="2"/>
      <c r="EE341" s="63"/>
      <c r="EF341" s="63"/>
      <c r="EG341" s="63"/>
      <c r="EH341" s="63"/>
      <c r="EI341" s="63"/>
      <c r="EJ341" s="63"/>
      <c r="EK341" s="63"/>
      <c r="EL341" s="63"/>
      <c r="EM341" s="63"/>
      <c r="EN341" s="63"/>
      <c r="EO341" s="63"/>
      <c r="EP341" s="63"/>
      <c r="EQ341" s="63"/>
      <c r="ER341" s="63"/>
      <c r="ES341" s="63"/>
      <c r="ET341" s="63"/>
      <c r="EU341" s="80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5"/>
      <c r="FH341" s="84"/>
      <c r="FI341" s="64"/>
      <c r="FJ341" s="8"/>
      <c r="FK341" s="48"/>
      <c r="FL341" s="48"/>
      <c r="FM341" s="48"/>
      <c r="FN341" s="48"/>
      <c r="FO341" s="48"/>
      <c r="FP341" s="48"/>
      <c r="FQ341" s="48"/>
      <c r="FR341" s="48"/>
      <c r="FS341" s="48"/>
      <c r="FT341" s="48"/>
      <c r="FU341" s="48"/>
      <c r="FV341" s="48"/>
      <c r="FW341" s="48"/>
      <c r="FX341" s="48"/>
      <c r="FY341" s="48"/>
      <c r="FZ341" s="48"/>
      <c r="GA341" s="48"/>
      <c r="GB341" s="48"/>
      <c r="GC341" s="48"/>
      <c r="GD341" s="48"/>
      <c r="GE341" s="48"/>
      <c r="GF341" s="48"/>
      <c r="GG341" s="48"/>
      <c r="GH341" s="48"/>
      <c r="GI341" s="48"/>
      <c r="GJ341" s="8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77"/>
      <c r="GY341" s="77"/>
      <c r="GZ341" s="77"/>
    </row>
    <row r="342" spans="1:208">
      <c r="A342" s="48"/>
      <c r="B342" s="49"/>
      <c r="C342" s="50"/>
      <c r="D342" s="51"/>
      <c r="E342" s="50"/>
      <c r="F342" s="52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90"/>
      <c r="V342" s="91"/>
      <c r="W342" s="92"/>
      <c r="X342" s="92"/>
      <c r="Y342" s="92"/>
      <c r="Z342" s="91"/>
      <c r="AA342" s="93"/>
      <c r="AB342" s="99"/>
      <c r="AC342" s="54"/>
      <c r="AD342" s="54"/>
      <c r="AE342" s="54"/>
      <c r="AF342" s="54"/>
      <c r="AG342" s="54"/>
      <c r="AH342" s="54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113"/>
      <c r="BB342" s="110"/>
      <c r="BC342" s="110"/>
      <c r="BD342" s="110"/>
      <c r="BE342" s="110"/>
      <c r="BF342" s="110"/>
      <c r="BG342" s="110"/>
      <c r="BH342" s="110"/>
      <c r="BI342" s="113"/>
      <c r="BJ342" s="110"/>
      <c r="BK342" s="110"/>
      <c r="BL342" s="110"/>
      <c r="BM342" s="110"/>
      <c r="BN342" s="113"/>
      <c r="BO342" s="110"/>
      <c r="BP342" s="110"/>
      <c r="BQ342" s="110"/>
      <c r="BR342" s="110"/>
      <c r="BS342" s="110"/>
      <c r="BT342" s="110"/>
      <c r="BU342" s="110"/>
      <c r="BV342" s="110"/>
      <c r="BW342" s="110"/>
      <c r="BX342" s="113"/>
      <c r="BY342" s="110"/>
      <c r="BZ342" s="110"/>
      <c r="CA342" s="110"/>
      <c r="CB342" s="110"/>
      <c r="CC342" s="110"/>
      <c r="CD342" s="110"/>
      <c r="CE342" s="110"/>
      <c r="CF342" s="110"/>
      <c r="CG342" s="113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66"/>
      <c r="DA342" s="70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56"/>
      <c r="DR342" s="57"/>
      <c r="DS342" s="58"/>
      <c r="DT342" s="58"/>
      <c r="DU342" s="58"/>
      <c r="DV342" s="58"/>
      <c r="DW342" s="58"/>
      <c r="DX342" s="58"/>
      <c r="DY342" s="58"/>
      <c r="DZ342" s="59"/>
      <c r="EA342" s="60"/>
      <c r="EB342" s="61"/>
      <c r="EC342" s="62"/>
      <c r="ED342" s="2"/>
      <c r="EE342" s="63"/>
      <c r="EF342" s="63"/>
      <c r="EG342" s="63"/>
      <c r="EH342" s="63"/>
      <c r="EI342" s="63"/>
      <c r="EJ342" s="63"/>
      <c r="EK342" s="63"/>
      <c r="EL342" s="63"/>
      <c r="EM342" s="63"/>
      <c r="EN342" s="63"/>
      <c r="EO342" s="63"/>
      <c r="EP342" s="63"/>
      <c r="EQ342" s="63"/>
      <c r="ER342" s="63"/>
      <c r="ES342" s="63"/>
      <c r="ET342" s="63"/>
      <c r="EU342" s="80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5"/>
      <c r="FH342" s="84"/>
      <c r="FI342" s="64"/>
      <c r="FJ342" s="8"/>
      <c r="FK342" s="48"/>
      <c r="FL342" s="48"/>
      <c r="FM342" s="48"/>
      <c r="FN342" s="48"/>
      <c r="FO342" s="48"/>
      <c r="FP342" s="48"/>
      <c r="FQ342" s="48"/>
      <c r="FR342" s="48"/>
      <c r="FS342" s="48"/>
      <c r="FT342" s="48"/>
      <c r="FU342" s="48"/>
      <c r="FV342" s="48"/>
      <c r="FW342" s="48"/>
      <c r="FX342" s="48"/>
      <c r="FY342" s="48"/>
      <c r="FZ342" s="48"/>
      <c r="GA342" s="48"/>
      <c r="GB342" s="48"/>
      <c r="GC342" s="48"/>
      <c r="GD342" s="48"/>
      <c r="GE342" s="48"/>
      <c r="GF342" s="48"/>
      <c r="GG342" s="48"/>
      <c r="GH342" s="48"/>
      <c r="GI342" s="48"/>
      <c r="GJ342" s="8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77"/>
      <c r="GY342" s="77"/>
      <c r="GZ342" s="77"/>
    </row>
    <row r="343" spans="1:208">
      <c r="A343" s="48"/>
      <c r="B343" s="49"/>
      <c r="C343" s="50"/>
      <c r="D343" s="51"/>
      <c r="E343" s="50"/>
      <c r="F343" s="52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90"/>
      <c r="V343" s="91"/>
      <c r="W343" s="92"/>
      <c r="X343" s="92"/>
      <c r="Y343" s="92"/>
      <c r="Z343" s="91"/>
      <c r="AA343" s="93"/>
      <c r="AB343" s="99"/>
      <c r="AC343" s="54"/>
      <c r="AD343" s="54"/>
      <c r="AE343" s="54"/>
      <c r="AF343" s="54"/>
      <c r="AG343" s="54"/>
      <c r="AH343" s="54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113"/>
      <c r="BB343" s="110"/>
      <c r="BC343" s="110"/>
      <c r="BD343" s="110"/>
      <c r="BE343" s="110"/>
      <c r="BF343" s="110"/>
      <c r="BG343" s="110"/>
      <c r="BH343" s="110"/>
      <c r="BI343" s="113"/>
      <c r="BJ343" s="110"/>
      <c r="BK343" s="110"/>
      <c r="BL343" s="110"/>
      <c r="BM343" s="110"/>
      <c r="BN343" s="113"/>
      <c r="BO343" s="110"/>
      <c r="BP343" s="110"/>
      <c r="BQ343" s="110"/>
      <c r="BR343" s="110"/>
      <c r="BS343" s="110"/>
      <c r="BT343" s="110"/>
      <c r="BU343" s="110"/>
      <c r="BV343" s="110"/>
      <c r="BW343" s="110"/>
      <c r="BX343" s="113"/>
      <c r="BY343" s="110"/>
      <c r="BZ343" s="110"/>
      <c r="CA343" s="110"/>
      <c r="CB343" s="110"/>
      <c r="CC343" s="110"/>
      <c r="CD343" s="110"/>
      <c r="CE343" s="110"/>
      <c r="CF343" s="110"/>
      <c r="CG343" s="113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66"/>
      <c r="DA343" s="70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56"/>
      <c r="DR343" s="57"/>
      <c r="DS343" s="58"/>
      <c r="DT343" s="58"/>
      <c r="DU343" s="58"/>
      <c r="DV343" s="58"/>
      <c r="DW343" s="58"/>
      <c r="DX343" s="58"/>
      <c r="DY343" s="58"/>
      <c r="DZ343" s="59"/>
      <c r="EA343" s="60"/>
      <c r="EB343" s="61"/>
      <c r="EC343" s="62"/>
      <c r="ED343" s="2"/>
      <c r="EE343" s="63"/>
      <c r="EF343" s="63"/>
      <c r="EG343" s="63"/>
      <c r="EH343" s="63"/>
      <c r="EI343" s="63"/>
      <c r="EJ343" s="63"/>
      <c r="EK343" s="63"/>
      <c r="EL343" s="63"/>
      <c r="EM343" s="63"/>
      <c r="EN343" s="63"/>
      <c r="EO343" s="63"/>
      <c r="EP343" s="63"/>
      <c r="EQ343" s="63"/>
      <c r="ER343" s="63"/>
      <c r="ES343" s="63"/>
      <c r="ET343" s="63"/>
      <c r="EU343" s="80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5"/>
      <c r="FH343" s="84"/>
      <c r="FI343" s="64"/>
      <c r="FJ343" s="8"/>
      <c r="FK343" s="48"/>
      <c r="FL343" s="48"/>
      <c r="FM343" s="48"/>
      <c r="FN343" s="48"/>
      <c r="FO343" s="48"/>
      <c r="FP343" s="48"/>
      <c r="FQ343" s="48"/>
      <c r="FR343" s="48"/>
      <c r="FS343" s="48"/>
      <c r="FT343" s="48"/>
      <c r="FU343" s="48"/>
      <c r="FV343" s="48"/>
      <c r="FW343" s="48"/>
      <c r="FX343" s="48"/>
      <c r="FY343" s="48"/>
      <c r="FZ343" s="48"/>
      <c r="GA343" s="48"/>
      <c r="GB343" s="48"/>
      <c r="GC343" s="48"/>
      <c r="GD343" s="48"/>
      <c r="GE343" s="48"/>
      <c r="GF343" s="48"/>
      <c r="GG343" s="48"/>
      <c r="GH343" s="48"/>
      <c r="GI343" s="48"/>
      <c r="GJ343" s="8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77"/>
      <c r="GY343" s="77"/>
      <c r="GZ343" s="77"/>
    </row>
    <row r="344" spans="1:208">
      <c r="A344" s="48"/>
      <c r="B344" s="49"/>
      <c r="C344" s="50"/>
      <c r="D344" s="51"/>
      <c r="E344" s="50"/>
      <c r="F344" s="52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90"/>
      <c r="V344" s="91"/>
      <c r="W344" s="92"/>
      <c r="X344" s="92"/>
      <c r="Y344" s="92"/>
      <c r="Z344" s="91"/>
      <c r="AA344" s="93"/>
      <c r="AB344" s="99"/>
      <c r="AC344" s="54"/>
      <c r="AD344" s="54"/>
      <c r="AE344" s="54"/>
      <c r="AF344" s="54"/>
      <c r="AG344" s="54"/>
      <c r="AH344" s="54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113"/>
      <c r="BB344" s="110"/>
      <c r="BC344" s="110"/>
      <c r="BD344" s="110"/>
      <c r="BE344" s="110"/>
      <c r="BF344" s="110"/>
      <c r="BG344" s="110"/>
      <c r="BH344" s="110"/>
      <c r="BI344" s="113"/>
      <c r="BJ344" s="110"/>
      <c r="BK344" s="110"/>
      <c r="BL344" s="110"/>
      <c r="BM344" s="110"/>
      <c r="BN344" s="113"/>
      <c r="BO344" s="110"/>
      <c r="BP344" s="110"/>
      <c r="BQ344" s="110"/>
      <c r="BR344" s="110"/>
      <c r="BS344" s="110"/>
      <c r="BT344" s="110"/>
      <c r="BU344" s="110"/>
      <c r="BV344" s="110"/>
      <c r="BW344" s="110"/>
      <c r="BX344" s="113"/>
      <c r="BY344" s="110"/>
      <c r="BZ344" s="110"/>
      <c r="CA344" s="110"/>
      <c r="CB344" s="110"/>
      <c r="CC344" s="110"/>
      <c r="CD344" s="110"/>
      <c r="CE344" s="110"/>
      <c r="CF344" s="110"/>
      <c r="CG344" s="113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66"/>
      <c r="DA344" s="70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56"/>
      <c r="DR344" s="57"/>
      <c r="DS344" s="58"/>
      <c r="DT344" s="58"/>
      <c r="DU344" s="58"/>
      <c r="DV344" s="58"/>
      <c r="DW344" s="58"/>
      <c r="DX344" s="58"/>
      <c r="DY344" s="58"/>
      <c r="DZ344" s="59"/>
      <c r="EA344" s="60"/>
      <c r="EB344" s="61"/>
      <c r="EC344" s="62"/>
      <c r="ED344" s="2"/>
      <c r="EE344" s="63"/>
      <c r="EF344" s="63"/>
      <c r="EG344" s="63"/>
      <c r="EH344" s="63"/>
      <c r="EI344" s="63"/>
      <c r="EJ344" s="63"/>
      <c r="EK344" s="63"/>
      <c r="EL344" s="63"/>
      <c r="EM344" s="63"/>
      <c r="EN344" s="63"/>
      <c r="EO344" s="63"/>
      <c r="EP344" s="63"/>
      <c r="EQ344" s="63"/>
      <c r="ER344" s="63"/>
      <c r="ES344" s="63"/>
      <c r="ET344" s="63"/>
      <c r="EU344" s="80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5"/>
      <c r="FH344" s="84"/>
      <c r="FI344" s="64"/>
      <c r="FJ344" s="8"/>
      <c r="FK344" s="48"/>
      <c r="FL344" s="48"/>
      <c r="FM344" s="48"/>
      <c r="FN344" s="48"/>
      <c r="FO344" s="48"/>
      <c r="FP344" s="48"/>
      <c r="FQ344" s="48"/>
      <c r="FR344" s="48"/>
      <c r="FS344" s="48"/>
      <c r="FT344" s="48"/>
      <c r="FU344" s="48"/>
      <c r="FV344" s="48"/>
      <c r="FW344" s="48"/>
      <c r="FX344" s="48"/>
      <c r="FY344" s="48"/>
      <c r="FZ344" s="48"/>
      <c r="GA344" s="48"/>
      <c r="GB344" s="48"/>
      <c r="GC344" s="48"/>
      <c r="GD344" s="48"/>
      <c r="GE344" s="48"/>
      <c r="GF344" s="48"/>
      <c r="GG344" s="48"/>
      <c r="GH344" s="48"/>
      <c r="GI344" s="48"/>
      <c r="GJ344" s="8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77"/>
      <c r="GY344" s="77"/>
      <c r="GZ344" s="77"/>
    </row>
    <row r="345" spans="1:208">
      <c r="A345" s="48"/>
      <c r="B345" s="49"/>
      <c r="C345" s="50"/>
      <c r="D345" s="51"/>
      <c r="E345" s="50"/>
      <c r="F345" s="52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90"/>
      <c r="V345" s="91"/>
      <c r="W345" s="92"/>
      <c r="X345" s="92"/>
      <c r="Y345" s="92"/>
      <c r="Z345" s="91"/>
      <c r="AA345" s="93"/>
      <c r="AB345" s="99"/>
      <c r="AC345" s="54"/>
      <c r="AD345" s="54"/>
      <c r="AE345" s="54"/>
      <c r="AF345" s="54"/>
      <c r="AG345" s="54"/>
      <c r="AH345" s="54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113"/>
      <c r="BB345" s="110"/>
      <c r="BC345" s="110"/>
      <c r="BD345" s="110"/>
      <c r="BE345" s="110"/>
      <c r="BF345" s="110"/>
      <c r="BG345" s="110"/>
      <c r="BH345" s="110"/>
      <c r="BI345" s="113"/>
      <c r="BJ345" s="110"/>
      <c r="BK345" s="110"/>
      <c r="BL345" s="110"/>
      <c r="BM345" s="110"/>
      <c r="BN345" s="113"/>
      <c r="BO345" s="110"/>
      <c r="BP345" s="110"/>
      <c r="BQ345" s="110"/>
      <c r="BR345" s="110"/>
      <c r="BS345" s="110"/>
      <c r="BT345" s="110"/>
      <c r="BU345" s="110"/>
      <c r="BV345" s="110"/>
      <c r="BW345" s="110"/>
      <c r="BX345" s="113"/>
      <c r="BY345" s="110"/>
      <c r="BZ345" s="110"/>
      <c r="CA345" s="110"/>
      <c r="CB345" s="110"/>
      <c r="CC345" s="110"/>
      <c r="CD345" s="110"/>
      <c r="CE345" s="110"/>
      <c r="CF345" s="110"/>
      <c r="CG345" s="113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66"/>
      <c r="DA345" s="70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56"/>
      <c r="DR345" s="57"/>
      <c r="DS345" s="58"/>
      <c r="DT345" s="58"/>
      <c r="DU345" s="58"/>
      <c r="DV345" s="58"/>
      <c r="DW345" s="58"/>
      <c r="DX345" s="58"/>
      <c r="DY345" s="58"/>
      <c r="DZ345" s="59"/>
      <c r="EA345" s="60"/>
      <c r="EB345" s="61"/>
      <c r="EC345" s="62"/>
      <c r="ED345" s="2"/>
      <c r="EE345" s="63"/>
      <c r="EF345" s="63"/>
      <c r="EG345" s="63"/>
      <c r="EH345" s="63"/>
      <c r="EI345" s="63"/>
      <c r="EJ345" s="63"/>
      <c r="EK345" s="63"/>
      <c r="EL345" s="63"/>
      <c r="EM345" s="63"/>
      <c r="EN345" s="63"/>
      <c r="EO345" s="63"/>
      <c r="EP345" s="63"/>
      <c r="EQ345" s="63"/>
      <c r="ER345" s="63"/>
      <c r="ES345" s="63"/>
      <c r="ET345" s="63"/>
      <c r="EU345" s="80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5"/>
      <c r="FH345" s="84"/>
      <c r="FI345" s="64"/>
      <c r="FJ345" s="8"/>
      <c r="FK345" s="48"/>
      <c r="FL345" s="48"/>
      <c r="FM345" s="48"/>
      <c r="FN345" s="48"/>
      <c r="FO345" s="48"/>
      <c r="FP345" s="48"/>
      <c r="FQ345" s="48"/>
      <c r="FR345" s="48"/>
      <c r="FS345" s="48"/>
      <c r="FT345" s="48"/>
      <c r="FU345" s="48"/>
      <c r="FV345" s="48"/>
      <c r="FW345" s="48"/>
      <c r="FX345" s="48"/>
      <c r="FY345" s="48"/>
      <c r="FZ345" s="48"/>
      <c r="GA345" s="48"/>
      <c r="GB345" s="48"/>
      <c r="GC345" s="48"/>
      <c r="GD345" s="48"/>
      <c r="GE345" s="48"/>
      <c r="GF345" s="48"/>
      <c r="GG345" s="48"/>
      <c r="GH345" s="48"/>
      <c r="GI345" s="48"/>
      <c r="GJ345" s="8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77"/>
      <c r="GY345" s="77"/>
      <c r="GZ345" s="77"/>
    </row>
    <row r="346" spans="1:208">
      <c r="A346" s="48"/>
      <c r="B346" s="49"/>
      <c r="C346" s="50"/>
      <c r="D346" s="51"/>
      <c r="E346" s="50"/>
      <c r="F346" s="52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90"/>
      <c r="V346" s="91"/>
      <c r="W346" s="92"/>
      <c r="X346" s="92"/>
      <c r="Y346" s="92"/>
      <c r="Z346" s="91"/>
      <c r="AA346" s="93"/>
      <c r="AB346" s="99"/>
      <c r="AC346" s="54"/>
      <c r="AD346" s="54"/>
      <c r="AE346" s="54"/>
      <c r="AF346" s="54"/>
      <c r="AG346" s="54"/>
      <c r="AH346" s="54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113"/>
      <c r="BB346" s="110"/>
      <c r="BC346" s="110"/>
      <c r="BD346" s="110"/>
      <c r="BE346" s="110"/>
      <c r="BF346" s="110"/>
      <c r="BG346" s="110"/>
      <c r="BH346" s="110"/>
      <c r="BI346" s="113"/>
      <c r="BJ346" s="110"/>
      <c r="BK346" s="110"/>
      <c r="BL346" s="110"/>
      <c r="BM346" s="110"/>
      <c r="BN346" s="113"/>
      <c r="BO346" s="110"/>
      <c r="BP346" s="110"/>
      <c r="BQ346" s="110"/>
      <c r="BR346" s="110"/>
      <c r="BS346" s="110"/>
      <c r="BT346" s="110"/>
      <c r="BU346" s="110"/>
      <c r="BV346" s="110"/>
      <c r="BW346" s="110"/>
      <c r="BX346" s="113"/>
      <c r="BY346" s="110"/>
      <c r="BZ346" s="110"/>
      <c r="CA346" s="110"/>
      <c r="CB346" s="110"/>
      <c r="CC346" s="110"/>
      <c r="CD346" s="110"/>
      <c r="CE346" s="110"/>
      <c r="CF346" s="110"/>
      <c r="CG346" s="113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66"/>
      <c r="DA346" s="70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56"/>
      <c r="DR346" s="57"/>
      <c r="DS346" s="58"/>
      <c r="DT346" s="58"/>
      <c r="DU346" s="58"/>
      <c r="DV346" s="58"/>
      <c r="DW346" s="58"/>
      <c r="DX346" s="58"/>
      <c r="DY346" s="58"/>
      <c r="DZ346" s="59"/>
      <c r="EA346" s="60"/>
      <c r="EB346" s="61"/>
      <c r="EC346" s="62"/>
      <c r="ED346" s="2"/>
      <c r="EE346" s="63"/>
      <c r="EF346" s="63"/>
      <c r="EG346" s="63"/>
      <c r="EH346" s="63"/>
      <c r="EI346" s="63"/>
      <c r="EJ346" s="63"/>
      <c r="EK346" s="63"/>
      <c r="EL346" s="63"/>
      <c r="EM346" s="63"/>
      <c r="EN346" s="63"/>
      <c r="EO346" s="63"/>
      <c r="EP346" s="63"/>
      <c r="EQ346" s="63"/>
      <c r="ER346" s="63"/>
      <c r="ES346" s="63"/>
      <c r="ET346" s="63"/>
      <c r="EU346" s="80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5"/>
      <c r="FH346" s="84"/>
      <c r="FI346" s="64"/>
      <c r="FJ346" s="8"/>
      <c r="FK346" s="48"/>
      <c r="FL346" s="48"/>
      <c r="FM346" s="48"/>
      <c r="FN346" s="48"/>
      <c r="FO346" s="48"/>
      <c r="FP346" s="48"/>
      <c r="FQ346" s="48"/>
      <c r="FR346" s="48"/>
      <c r="FS346" s="48"/>
      <c r="FT346" s="48"/>
      <c r="FU346" s="48"/>
      <c r="FV346" s="48"/>
      <c r="FW346" s="48"/>
      <c r="FX346" s="48"/>
      <c r="FY346" s="48"/>
      <c r="FZ346" s="48"/>
      <c r="GA346" s="48"/>
      <c r="GB346" s="48"/>
      <c r="GC346" s="48"/>
      <c r="GD346" s="48"/>
      <c r="GE346" s="48"/>
      <c r="GF346" s="48"/>
      <c r="GG346" s="48"/>
      <c r="GH346" s="48"/>
      <c r="GI346" s="48"/>
      <c r="GJ346" s="8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77"/>
      <c r="GY346" s="77"/>
      <c r="GZ346" s="77"/>
    </row>
    <row r="347" spans="1:208">
      <c r="A347" s="48"/>
      <c r="B347" s="49"/>
      <c r="C347" s="50"/>
      <c r="D347" s="51"/>
      <c r="E347" s="50"/>
      <c r="F347" s="52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90"/>
      <c r="V347" s="91"/>
      <c r="W347" s="92"/>
      <c r="X347" s="92"/>
      <c r="Y347" s="92"/>
      <c r="Z347" s="91"/>
      <c r="AA347" s="93"/>
      <c r="AB347" s="99"/>
      <c r="AC347" s="54"/>
      <c r="AD347" s="54"/>
      <c r="AE347" s="54"/>
      <c r="AF347" s="54"/>
      <c r="AG347" s="54"/>
      <c r="AH347" s="54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113"/>
      <c r="BB347" s="110"/>
      <c r="BC347" s="110"/>
      <c r="BD347" s="110"/>
      <c r="BE347" s="110"/>
      <c r="BF347" s="110"/>
      <c r="BG347" s="110"/>
      <c r="BH347" s="110"/>
      <c r="BI347" s="113"/>
      <c r="BJ347" s="110"/>
      <c r="BK347" s="110"/>
      <c r="BL347" s="110"/>
      <c r="BM347" s="110"/>
      <c r="BN347" s="113"/>
      <c r="BO347" s="110"/>
      <c r="BP347" s="110"/>
      <c r="BQ347" s="110"/>
      <c r="BR347" s="110"/>
      <c r="BS347" s="110"/>
      <c r="BT347" s="110"/>
      <c r="BU347" s="110"/>
      <c r="BV347" s="110"/>
      <c r="BW347" s="110"/>
      <c r="BX347" s="113"/>
      <c r="BY347" s="110"/>
      <c r="BZ347" s="110"/>
      <c r="CA347" s="110"/>
      <c r="CB347" s="110"/>
      <c r="CC347" s="110"/>
      <c r="CD347" s="110"/>
      <c r="CE347" s="110"/>
      <c r="CF347" s="110"/>
      <c r="CG347" s="113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66"/>
      <c r="DA347" s="70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56"/>
      <c r="DR347" s="57"/>
      <c r="DS347" s="58"/>
      <c r="DT347" s="58"/>
      <c r="DU347" s="58"/>
      <c r="DV347" s="58"/>
      <c r="DW347" s="58"/>
      <c r="DX347" s="58"/>
      <c r="DY347" s="58"/>
      <c r="DZ347" s="59"/>
      <c r="EA347" s="60"/>
      <c r="EB347" s="61"/>
      <c r="EC347" s="62"/>
      <c r="ED347" s="2"/>
      <c r="EE347" s="63"/>
      <c r="EF347" s="63"/>
      <c r="EG347" s="63"/>
      <c r="EH347" s="63"/>
      <c r="EI347" s="63"/>
      <c r="EJ347" s="63"/>
      <c r="EK347" s="63"/>
      <c r="EL347" s="63"/>
      <c r="EM347" s="63"/>
      <c r="EN347" s="63"/>
      <c r="EO347" s="63"/>
      <c r="EP347" s="63"/>
      <c r="EQ347" s="63"/>
      <c r="ER347" s="63"/>
      <c r="ES347" s="63"/>
      <c r="ET347" s="63"/>
      <c r="EU347" s="80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5"/>
      <c r="FH347" s="84"/>
      <c r="FI347" s="64"/>
      <c r="FJ347" s="8"/>
      <c r="FK347" s="48"/>
      <c r="FL347" s="48"/>
      <c r="FM347" s="48"/>
      <c r="FN347" s="48"/>
      <c r="FO347" s="48"/>
      <c r="FP347" s="48"/>
      <c r="FQ347" s="48"/>
      <c r="FR347" s="48"/>
      <c r="FS347" s="48"/>
      <c r="FT347" s="48"/>
      <c r="FU347" s="48"/>
      <c r="FV347" s="48"/>
      <c r="FW347" s="48"/>
      <c r="FX347" s="48"/>
      <c r="FY347" s="48"/>
      <c r="FZ347" s="48"/>
      <c r="GA347" s="48"/>
      <c r="GB347" s="48"/>
      <c r="GC347" s="48"/>
      <c r="GD347" s="48"/>
      <c r="GE347" s="48"/>
      <c r="GF347" s="48"/>
      <c r="GG347" s="48"/>
      <c r="GH347" s="48"/>
      <c r="GI347" s="48"/>
      <c r="GJ347" s="8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77"/>
      <c r="GY347" s="77"/>
      <c r="GZ347" s="77"/>
    </row>
    <row r="348" spans="1:208">
      <c r="A348" s="48"/>
      <c r="B348" s="49"/>
      <c r="C348" s="50"/>
      <c r="D348" s="51"/>
      <c r="E348" s="50"/>
      <c r="F348" s="52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90"/>
      <c r="V348" s="91"/>
      <c r="W348" s="92"/>
      <c r="X348" s="92"/>
      <c r="Y348" s="92"/>
      <c r="Z348" s="91"/>
      <c r="AA348" s="93"/>
      <c r="AB348" s="99"/>
      <c r="AC348" s="54"/>
      <c r="AD348" s="54"/>
      <c r="AE348" s="54"/>
      <c r="AF348" s="54"/>
      <c r="AG348" s="54"/>
      <c r="AH348" s="54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113"/>
      <c r="BB348" s="110"/>
      <c r="BC348" s="110"/>
      <c r="BD348" s="110"/>
      <c r="BE348" s="110"/>
      <c r="BF348" s="110"/>
      <c r="BG348" s="110"/>
      <c r="BH348" s="110"/>
      <c r="BI348" s="113"/>
      <c r="BJ348" s="110"/>
      <c r="BK348" s="110"/>
      <c r="BL348" s="110"/>
      <c r="BM348" s="110"/>
      <c r="BN348" s="113"/>
      <c r="BO348" s="110"/>
      <c r="BP348" s="110"/>
      <c r="BQ348" s="110"/>
      <c r="BR348" s="110"/>
      <c r="BS348" s="110"/>
      <c r="BT348" s="110"/>
      <c r="BU348" s="110"/>
      <c r="BV348" s="110"/>
      <c r="BW348" s="110"/>
      <c r="BX348" s="113"/>
      <c r="BY348" s="110"/>
      <c r="BZ348" s="110"/>
      <c r="CA348" s="110"/>
      <c r="CB348" s="110"/>
      <c r="CC348" s="110"/>
      <c r="CD348" s="110"/>
      <c r="CE348" s="110"/>
      <c r="CF348" s="110"/>
      <c r="CG348" s="113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66"/>
      <c r="DA348" s="70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56"/>
      <c r="DR348" s="57"/>
      <c r="DS348" s="58"/>
      <c r="DT348" s="58"/>
      <c r="DU348" s="58"/>
      <c r="DV348" s="58"/>
      <c r="DW348" s="58"/>
      <c r="DX348" s="58"/>
      <c r="DY348" s="58"/>
      <c r="DZ348" s="59"/>
      <c r="EA348" s="60"/>
      <c r="EB348" s="61"/>
      <c r="EC348" s="62"/>
      <c r="ED348" s="2"/>
      <c r="EE348" s="63"/>
      <c r="EF348" s="63"/>
      <c r="EG348" s="63"/>
      <c r="EH348" s="63"/>
      <c r="EI348" s="63"/>
      <c r="EJ348" s="63"/>
      <c r="EK348" s="63"/>
      <c r="EL348" s="63"/>
      <c r="EM348" s="63"/>
      <c r="EN348" s="63"/>
      <c r="EO348" s="63"/>
      <c r="EP348" s="63"/>
      <c r="EQ348" s="63"/>
      <c r="ER348" s="63"/>
      <c r="ES348" s="63"/>
      <c r="ET348" s="63"/>
      <c r="EU348" s="80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5"/>
      <c r="FH348" s="84"/>
      <c r="FI348" s="64"/>
      <c r="FJ348" s="8"/>
      <c r="FK348" s="48"/>
      <c r="FL348" s="48"/>
      <c r="FM348" s="48"/>
      <c r="FN348" s="48"/>
      <c r="FO348" s="48"/>
      <c r="FP348" s="48"/>
      <c r="FQ348" s="48"/>
      <c r="FR348" s="48"/>
      <c r="FS348" s="48"/>
      <c r="FT348" s="48"/>
      <c r="FU348" s="48"/>
      <c r="FV348" s="48"/>
      <c r="FW348" s="48"/>
      <c r="FX348" s="48"/>
      <c r="FY348" s="48"/>
      <c r="FZ348" s="48"/>
      <c r="GA348" s="48"/>
      <c r="GB348" s="48"/>
      <c r="GC348" s="48"/>
      <c r="GD348" s="48"/>
      <c r="GE348" s="48"/>
      <c r="GF348" s="48"/>
      <c r="GG348" s="48"/>
      <c r="GH348" s="48"/>
      <c r="GI348" s="48"/>
      <c r="GJ348" s="8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77"/>
      <c r="GY348" s="77"/>
      <c r="GZ348" s="77"/>
    </row>
    <row r="349" spans="1:208">
      <c r="A349" s="48"/>
      <c r="B349" s="49"/>
      <c r="C349" s="50"/>
      <c r="D349" s="51"/>
      <c r="E349" s="50"/>
      <c r="F349" s="52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90"/>
      <c r="V349" s="91"/>
      <c r="W349" s="92"/>
      <c r="X349" s="92"/>
      <c r="Y349" s="92"/>
      <c r="Z349" s="91"/>
      <c r="AA349" s="93"/>
      <c r="AB349" s="99"/>
      <c r="AC349" s="54"/>
      <c r="AD349" s="54"/>
      <c r="AE349" s="54"/>
      <c r="AF349" s="54"/>
      <c r="AG349" s="54"/>
      <c r="AH349" s="54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113"/>
      <c r="BB349" s="110"/>
      <c r="BC349" s="110"/>
      <c r="BD349" s="110"/>
      <c r="BE349" s="110"/>
      <c r="BF349" s="110"/>
      <c r="BG349" s="110"/>
      <c r="BH349" s="110"/>
      <c r="BI349" s="113"/>
      <c r="BJ349" s="110"/>
      <c r="BK349" s="110"/>
      <c r="BL349" s="110"/>
      <c r="BM349" s="110"/>
      <c r="BN349" s="113"/>
      <c r="BO349" s="110"/>
      <c r="BP349" s="110"/>
      <c r="BQ349" s="110"/>
      <c r="BR349" s="110"/>
      <c r="BS349" s="110"/>
      <c r="BT349" s="110"/>
      <c r="BU349" s="110"/>
      <c r="BV349" s="110"/>
      <c r="BW349" s="110"/>
      <c r="BX349" s="113"/>
      <c r="BY349" s="110"/>
      <c r="BZ349" s="110"/>
      <c r="CA349" s="110"/>
      <c r="CB349" s="110"/>
      <c r="CC349" s="110"/>
      <c r="CD349" s="110"/>
      <c r="CE349" s="110"/>
      <c r="CF349" s="110"/>
      <c r="CG349" s="113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66"/>
      <c r="DA349" s="70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56"/>
      <c r="DR349" s="57"/>
      <c r="DS349" s="58"/>
      <c r="DT349" s="58"/>
      <c r="DU349" s="58"/>
      <c r="DV349" s="58"/>
      <c r="DW349" s="58"/>
      <c r="DX349" s="58"/>
      <c r="DY349" s="58"/>
      <c r="DZ349" s="59"/>
      <c r="EA349" s="60"/>
      <c r="EB349" s="61"/>
      <c r="EC349" s="62"/>
      <c r="ED349" s="2"/>
      <c r="EE349" s="63"/>
      <c r="EF349" s="63"/>
      <c r="EG349" s="63"/>
      <c r="EH349" s="63"/>
      <c r="EI349" s="63"/>
      <c r="EJ349" s="63"/>
      <c r="EK349" s="63"/>
      <c r="EL349" s="63"/>
      <c r="EM349" s="63"/>
      <c r="EN349" s="63"/>
      <c r="EO349" s="63"/>
      <c r="EP349" s="63"/>
      <c r="EQ349" s="63"/>
      <c r="ER349" s="63"/>
      <c r="ES349" s="63"/>
      <c r="ET349" s="63"/>
      <c r="EU349" s="80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5"/>
      <c r="FH349" s="84"/>
      <c r="FI349" s="64"/>
      <c r="FJ349" s="8"/>
      <c r="FK349" s="48"/>
      <c r="FL349" s="48"/>
      <c r="FM349" s="48"/>
      <c r="FN349" s="48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8"/>
      <c r="GG349" s="48"/>
      <c r="GH349" s="48"/>
      <c r="GI349" s="48"/>
      <c r="GJ349" s="8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77"/>
      <c r="GY349" s="77"/>
      <c r="GZ349" s="77"/>
    </row>
    <row r="350" spans="1:208">
      <c r="A350" s="48"/>
      <c r="B350" s="49"/>
      <c r="C350" s="50"/>
      <c r="D350" s="51"/>
      <c r="E350" s="50"/>
      <c r="F350" s="52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90"/>
      <c r="V350" s="91"/>
      <c r="W350" s="92"/>
      <c r="X350" s="92"/>
      <c r="Y350" s="92"/>
      <c r="Z350" s="91"/>
      <c r="AA350" s="93"/>
      <c r="AB350" s="99"/>
      <c r="AC350" s="54"/>
      <c r="AD350" s="54"/>
      <c r="AE350" s="54"/>
      <c r="AF350" s="54"/>
      <c r="AG350" s="54"/>
      <c r="AH350" s="54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113"/>
      <c r="BB350" s="110"/>
      <c r="BC350" s="110"/>
      <c r="BD350" s="110"/>
      <c r="BE350" s="110"/>
      <c r="BF350" s="110"/>
      <c r="BG350" s="110"/>
      <c r="BH350" s="110"/>
      <c r="BI350" s="113"/>
      <c r="BJ350" s="110"/>
      <c r="BK350" s="110"/>
      <c r="BL350" s="110"/>
      <c r="BM350" s="110"/>
      <c r="BN350" s="113"/>
      <c r="BO350" s="110"/>
      <c r="BP350" s="110"/>
      <c r="BQ350" s="110"/>
      <c r="BR350" s="110"/>
      <c r="BS350" s="110"/>
      <c r="BT350" s="110"/>
      <c r="BU350" s="110"/>
      <c r="BV350" s="110"/>
      <c r="BW350" s="110"/>
      <c r="BX350" s="113"/>
      <c r="BY350" s="110"/>
      <c r="BZ350" s="110"/>
      <c r="CA350" s="110"/>
      <c r="CB350" s="110"/>
      <c r="CC350" s="110"/>
      <c r="CD350" s="110"/>
      <c r="CE350" s="110"/>
      <c r="CF350" s="110"/>
      <c r="CG350" s="113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66"/>
      <c r="DA350" s="70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56"/>
      <c r="DR350" s="57"/>
      <c r="DS350" s="58"/>
      <c r="DT350" s="58"/>
      <c r="DU350" s="58"/>
      <c r="DV350" s="58"/>
      <c r="DW350" s="58"/>
      <c r="DX350" s="58"/>
      <c r="DY350" s="58"/>
      <c r="DZ350" s="59"/>
      <c r="EA350" s="60"/>
      <c r="EB350" s="61"/>
      <c r="EC350" s="62"/>
      <c r="ED350" s="2"/>
      <c r="EE350" s="63"/>
      <c r="EF350" s="63"/>
      <c r="EG350" s="63"/>
      <c r="EH350" s="63"/>
      <c r="EI350" s="63"/>
      <c r="EJ350" s="63"/>
      <c r="EK350" s="63"/>
      <c r="EL350" s="63"/>
      <c r="EM350" s="63"/>
      <c r="EN350" s="63"/>
      <c r="EO350" s="63"/>
      <c r="EP350" s="63"/>
      <c r="EQ350" s="63"/>
      <c r="ER350" s="63"/>
      <c r="ES350" s="63"/>
      <c r="ET350" s="63"/>
      <c r="EU350" s="80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5"/>
      <c r="FH350" s="84"/>
      <c r="FI350" s="64"/>
      <c r="FJ350" s="8"/>
      <c r="FK350" s="48"/>
      <c r="FL350" s="48"/>
      <c r="FM350" s="48"/>
      <c r="FN350" s="48"/>
      <c r="FO350" s="48"/>
      <c r="FP350" s="48"/>
      <c r="FQ350" s="48"/>
      <c r="FR350" s="48"/>
      <c r="FS350" s="48"/>
      <c r="FT350" s="48"/>
      <c r="FU350" s="48"/>
      <c r="FV350" s="48"/>
      <c r="FW350" s="48"/>
      <c r="FX350" s="48"/>
      <c r="FY350" s="48"/>
      <c r="FZ350" s="48"/>
      <c r="GA350" s="48"/>
      <c r="GB350" s="48"/>
      <c r="GC350" s="48"/>
      <c r="GD350" s="48"/>
      <c r="GE350" s="48"/>
      <c r="GF350" s="48"/>
      <c r="GG350" s="48"/>
      <c r="GH350" s="48"/>
      <c r="GI350" s="48"/>
      <c r="GJ350" s="8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77"/>
      <c r="GY350" s="77"/>
      <c r="GZ350" s="77"/>
    </row>
    <row r="351" spans="1:208">
      <c r="A351" s="48"/>
      <c r="B351" s="49"/>
      <c r="C351" s="50"/>
      <c r="D351" s="51"/>
      <c r="E351" s="50"/>
      <c r="F351" s="52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90"/>
      <c r="V351" s="91"/>
      <c r="W351" s="92"/>
      <c r="X351" s="92"/>
      <c r="Y351" s="92"/>
      <c r="Z351" s="91"/>
      <c r="AA351" s="93"/>
      <c r="AB351" s="99"/>
      <c r="AC351" s="54"/>
      <c r="AD351" s="54"/>
      <c r="AE351" s="54"/>
      <c r="AF351" s="54"/>
      <c r="AG351" s="54"/>
      <c r="AH351" s="54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113"/>
      <c r="BB351" s="110"/>
      <c r="BC351" s="110"/>
      <c r="BD351" s="110"/>
      <c r="BE351" s="110"/>
      <c r="BF351" s="110"/>
      <c r="BG351" s="110"/>
      <c r="BH351" s="110"/>
      <c r="BI351" s="113"/>
      <c r="BJ351" s="110"/>
      <c r="BK351" s="110"/>
      <c r="BL351" s="110"/>
      <c r="BM351" s="110"/>
      <c r="BN351" s="113"/>
      <c r="BO351" s="110"/>
      <c r="BP351" s="110"/>
      <c r="BQ351" s="110"/>
      <c r="BR351" s="110"/>
      <c r="BS351" s="110"/>
      <c r="BT351" s="110"/>
      <c r="BU351" s="110"/>
      <c r="BV351" s="110"/>
      <c r="BW351" s="110"/>
      <c r="BX351" s="113"/>
      <c r="BY351" s="110"/>
      <c r="BZ351" s="110"/>
      <c r="CA351" s="110"/>
      <c r="CB351" s="110"/>
      <c r="CC351" s="110"/>
      <c r="CD351" s="110"/>
      <c r="CE351" s="110"/>
      <c r="CF351" s="110"/>
      <c r="CG351" s="113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66"/>
      <c r="DA351" s="70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56"/>
      <c r="DR351" s="57"/>
      <c r="DS351" s="58"/>
      <c r="DT351" s="58"/>
      <c r="DU351" s="58"/>
      <c r="DV351" s="58"/>
      <c r="DW351" s="58"/>
      <c r="DX351" s="58"/>
      <c r="DY351" s="58"/>
      <c r="DZ351" s="59"/>
      <c r="EA351" s="60"/>
      <c r="EB351" s="61"/>
      <c r="EC351" s="62"/>
      <c r="ED351" s="2"/>
      <c r="EE351" s="63"/>
      <c r="EF351" s="63"/>
      <c r="EG351" s="63"/>
      <c r="EH351" s="63"/>
      <c r="EI351" s="63"/>
      <c r="EJ351" s="63"/>
      <c r="EK351" s="63"/>
      <c r="EL351" s="63"/>
      <c r="EM351" s="63"/>
      <c r="EN351" s="63"/>
      <c r="EO351" s="63"/>
      <c r="EP351" s="63"/>
      <c r="EQ351" s="63"/>
      <c r="ER351" s="63"/>
      <c r="ES351" s="63"/>
      <c r="ET351" s="63"/>
      <c r="EU351" s="80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5"/>
      <c r="FH351" s="84"/>
      <c r="FI351" s="64"/>
      <c r="FJ351" s="8"/>
      <c r="FK351" s="48"/>
      <c r="FL351" s="48"/>
      <c r="FM351" s="48"/>
      <c r="FN351" s="48"/>
      <c r="FO351" s="48"/>
      <c r="FP351" s="48"/>
      <c r="FQ351" s="48"/>
      <c r="FR351" s="48"/>
      <c r="FS351" s="48"/>
      <c r="FT351" s="48"/>
      <c r="FU351" s="48"/>
      <c r="FV351" s="48"/>
      <c r="FW351" s="48"/>
      <c r="FX351" s="48"/>
      <c r="FY351" s="48"/>
      <c r="FZ351" s="48"/>
      <c r="GA351" s="48"/>
      <c r="GB351" s="48"/>
      <c r="GC351" s="48"/>
      <c r="GD351" s="48"/>
      <c r="GE351" s="48"/>
      <c r="GF351" s="48"/>
      <c r="GG351" s="48"/>
      <c r="GH351" s="48"/>
      <c r="GI351" s="48"/>
      <c r="GJ351" s="8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77"/>
      <c r="GY351" s="77"/>
      <c r="GZ351" s="77"/>
    </row>
    <row r="352" spans="1:208">
      <c r="A352" s="48"/>
      <c r="B352" s="49"/>
      <c r="C352" s="50"/>
      <c r="D352" s="51"/>
      <c r="E352" s="50"/>
      <c r="F352" s="52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90"/>
      <c r="V352" s="91"/>
      <c r="W352" s="92"/>
      <c r="X352" s="92"/>
      <c r="Y352" s="92"/>
      <c r="Z352" s="91"/>
      <c r="AA352" s="93"/>
      <c r="AB352" s="99"/>
      <c r="AC352" s="54"/>
      <c r="AD352" s="54"/>
      <c r="AE352" s="54"/>
      <c r="AF352" s="54"/>
      <c r="AG352" s="54"/>
      <c r="AH352" s="54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113"/>
      <c r="BB352" s="110"/>
      <c r="BC352" s="110"/>
      <c r="BD352" s="110"/>
      <c r="BE352" s="110"/>
      <c r="BF352" s="110"/>
      <c r="BG352" s="110"/>
      <c r="BH352" s="110"/>
      <c r="BI352" s="113"/>
      <c r="BJ352" s="110"/>
      <c r="BK352" s="110"/>
      <c r="BL352" s="110"/>
      <c r="BM352" s="110"/>
      <c r="BN352" s="113"/>
      <c r="BO352" s="110"/>
      <c r="BP352" s="110"/>
      <c r="BQ352" s="110"/>
      <c r="BR352" s="110"/>
      <c r="BS352" s="110"/>
      <c r="BT352" s="110"/>
      <c r="BU352" s="110"/>
      <c r="BV352" s="110"/>
      <c r="BW352" s="110"/>
      <c r="BX352" s="113"/>
      <c r="BY352" s="110"/>
      <c r="BZ352" s="110"/>
      <c r="CA352" s="110"/>
      <c r="CB352" s="110"/>
      <c r="CC352" s="110"/>
      <c r="CD352" s="110"/>
      <c r="CE352" s="110"/>
      <c r="CF352" s="110"/>
      <c r="CG352" s="113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66"/>
      <c r="DA352" s="70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56"/>
      <c r="DR352" s="57"/>
      <c r="DS352" s="58"/>
      <c r="DT352" s="58"/>
      <c r="DU352" s="58"/>
      <c r="DV352" s="58"/>
      <c r="DW352" s="58"/>
      <c r="DX352" s="58"/>
      <c r="DY352" s="58"/>
      <c r="DZ352" s="59"/>
      <c r="EA352" s="60"/>
      <c r="EB352" s="61"/>
      <c r="EC352" s="62"/>
      <c r="ED352" s="2"/>
      <c r="EE352" s="63"/>
      <c r="EF352" s="63"/>
      <c r="EG352" s="63"/>
      <c r="EH352" s="63"/>
      <c r="EI352" s="63"/>
      <c r="EJ352" s="63"/>
      <c r="EK352" s="63"/>
      <c r="EL352" s="63"/>
      <c r="EM352" s="63"/>
      <c r="EN352" s="63"/>
      <c r="EO352" s="63"/>
      <c r="EP352" s="63"/>
      <c r="EQ352" s="63"/>
      <c r="ER352" s="63"/>
      <c r="ES352" s="63"/>
      <c r="ET352" s="63"/>
      <c r="EU352" s="80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5"/>
      <c r="FH352" s="84"/>
      <c r="FI352" s="64"/>
      <c r="FJ352" s="8"/>
      <c r="FK352" s="48"/>
      <c r="FL352" s="48"/>
      <c r="FM352" s="48"/>
      <c r="FN352" s="48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8"/>
      <c r="GG352" s="48"/>
      <c r="GH352" s="48"/>
      <c r="GI352" s="48"/>
      <c r="GJ352" s="8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77"/>
      <c r="GY352" s="77"/>
      <c r="GZ352" s="77"/>
    </row>
    <row r="353" spans="1:208">
      <c r="A353" s="48"/>
      <c r="B353" s="49"/>
      <c r="C353" s="50"/>
      <c r="D353" s="51"/>
      <c r="E353" s="50"/>
      <c r="F353" s="52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90"/>
      <c r="V353" s="91"/>
      <c r="W353" s="92"/>
      <c r="X353" s="92"/>
      <c r="Y353" s="92"/>
      <c r="Z353" s="91"/>
      <c r="AA353" s="93"/>
      <c r="AB353" s="99"/>
      <c r="AC353" s="54"/>
      <c r="AD353" s="54"/>
      <c r="AE353" s="54"/>
      <c r="AF353" s="54"/>
      <c r="AG353" s="54"/>
      <c r="AH353" s="54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113"/>
      <c r="BB353" s="110"/>
      <c r="BC353" s="110"/>
      <c r="BD353" s="110"/>
      <c r="BE353" s="110"/>
      <c r="BF353" s="110"/>
      <c r="BG353" s="110"/>
      <c r="BH353" s="110"/>
      <c r="BI353" s="113"/>
      <c r="BJ353" s="110"/>
      <c r="BK353" s="110"/>
      <c r="BL353" s="110"/>
      <c r="BM353" s="110"/>
      <c r="BN353" s="113"/>
      <c r="BO353" s="110"/>
      <c r="BP353" s="110"/>
      <c r="BQ353" s="110"/>
      <c r="BR353" s="110"/>
      <c r="BS353" s="110"/>
      <c r="BT353" s="110"/>
      <c r="BU353" s="110"/>
      <c r="BV353" s="110"/>
      <c r="BW353" s="110"/>
      <c r="BX353" s="113"/>
      <c r="BY353" s="110"/>
      <c r="BZ353" s="110"/>
      <c r="CA353" s="110"/>
      <c r="CB353" s="110"/>
      <c r="CC353" s="110"/>
      <c r="CD353" s="110"/>
      <c r="CE353" s="110"/>
      <c r="CF353" s="110"/>
      <c r="CG353" s="113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66"/>
      <c r="DA353" s="70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56"/>
      <c r="DR353" s="57"/>
      <c r="DS353" s="58"/>
      <c r="DT353" s="58"/>
      <c r="DU353" s="58"/>
      <c r="DV353" s="58"/>
      <c r="DW353" s="58"/>
      <c r="DX353" s="58"/>
      <c r="DY353" s="58"/>
      <c r="DZ353" s="59"/>
      <c r="EA353" s="60"/>
      <c r="EB353" s="61"/>
      <c r="EC353" s="62"/>
      <c r="ED353" s="2"/>
      <c r="EE353" s="63"/>
      <c r="EF353" s="63"/>
      <c r="EG353" s="63"/>
      <c r="EH353" s="63"/>
      <c r="EI353" s="63"/>
      <c r="EJ353" s="63"/>
      <c r="EK353" s="63"/>
      <c r="EL353" s="63"/>
      <c r="EM353" s="63"/>
      <c r="EN353" s="63"/>
      <c r="EO353" s="63"/>
      <c r="EP353" s="63"/>
      <c r="EQ353" s="63"/>
      <c r="ER353" s="63"/>
      <c r="ES353" s="63"/>
      <c r="ET353" s="63"/>
      <c r="EU353" s="80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5"/>
      <c r="FH353" s="84"/>
      <c r="FI353" s="64"/>
      <c r="FJ353" s="8"/>
      <c r="FK353" s="48"/>
      <c r="FL353" s="48"/>
      <c r="FM353" s="48"/>
      <c r="FN353" s="48"/>
      <c r="FO353" s="48"/>
      <c r="FP353" s="48"/>
      <c r="FQ353" s="48"/>
      <c r="FR353" s="48"/>
      <c r="FS353" s="48"/>
      <c r="FT353" s="48"/>
      <c r="FU353" s="48"/>
      <c r="FV353" s="48"/>
      <c r="FW353" s="48"/>
      <c r="FX353" s="48"/>
      <c r="FY353" s="48"/>
      <c r="FZ353" s="48"/>
      <c r="GA353" s="48"/>
      <c r="GB353" s="48"/>
      <c r="GC353" s="48"/>
      <c r="GD353" s="48"/>
      <c r="GE353" s="48"/>
      <c r="GF353" s="48"/>
      <c r="GG353" s="48"/>
      <c r="GH353" s="48"/>
      <c r="GI353" s="48"/>
      <c r="GJ353" s="8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77"/>
      <c r="GY353" s="77"/>
      <c r="GZ353" s="77"/>
    </row>
    <row r="354" spans="1:208">
      <c r="A354" s="48"/>
      <c r="B354" s="49"/>
      <c r="C354" s="50"/>
      <c r="D354" s="51"/>
      <c r="E354" s="50"/>
      <c r="F354" s="52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90"/>
      <c r="V354" s="91"/>
      <c r="W354" s="92"/>
      <c r="X354" s="92"/>
      <c r="Y354" s="92"/>
      <c r="Z354" s="91"/>
      <c r="AA354" s="93"/>
      <c r="AB354" s="99"/>
      <c r="AC354" s="54"/>
      <c r="AD354" s="54"/>
      <c r="AE354" s="54"/>
      <c r="AF354" s="54"/>
      <c r="AG354" s="54"/>
      <c r="AH354" s="54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113"/>
      <c r="BB354" s="110"/>
      <c r="BC354" s="110"/>
      <c r="BD354" s="110"/>
      <c r="BE354" s="110"/>
      <c r="BF354" s="110"/>
      <c r="BG354" s="110"/>
      <c r="BH354" s="110"/>
      <c r="BI354" s="113"/>
      <c r="BJ354" s="110"/>
      <c r="BK354" s="110"/>
      <c r="BL354" s="110"/>
      <c r="BM354" s="110"/>
      <c r="BN354" s="113"/>
      <c r="BO354" s="110"/>
      <c r="BP354" s="110"/>
      <c r="BQ354" s="110"/>
      <c r="BR354" s="110"/>
      <c r="BS354" s="110"/>
      <c r="BT354" s="110"/>
      <c r="BU354" s="110"/>
      <c r="BV354" s="110"/>
      <c r="BW354" s="110"/>
      <c r="BX354" s="113"/>
      <c r="BY354" s="110"/>
      <c r="BZ354" s="110"/>
      <c r="CA354" s="110"/>
      <c r="CB354" s="110"/>
      <c r="CC354" s="110"/>
      <c r="CD354" s="110"/>
      <c r="CE354" s="110"/>
      <c r="CF354" s="110"/>
      <c r="CG354" s="113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66"/>
      <c r="DA354" s="70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56"/>
      <c r="DR354" s="57"/>
      <c r="DS354" s="58"/>
      <c r="DT354" s="58"/>
      <c r="DU354" s="58"/>
      <c r="DV354" s="58"/>
      <c r="DW354" s="58"/>
      <c r="DX354" s="58"/>
      <c r="DY354" s="58"/>
      <c r="DZ354" s="59"/>
      <c r="EA354" s="60"/>
      <c r="EB354" s="61"/>
      <c r="EC354" s="62"/>
      <c r="ED354" s="2"/>
      <c r="EE354" s="63"/>
      <c r="EF354" s="63"/>
      <c r="EG354" s="63"/>
      <c r="EH354" s="63"/>
      <c r="EI354" s="63"/>
      <c r="EJ354" s="63"/>
      <c r="EK354" s="63"/>
      <c r="EL354" s="63"/>
      <c r="EM354" s="63"/>
      <c r="EN354" s="63"/>
      <c r="EO354" s="63"/>
      <c r="EP354" s="63"/>
      <c r="EQ354" s="63"/>
      <c r="ER354" s="63"/>
      <c r="ES354" s="63"/>
      <c r="ET354" s="63"/>
      <c r="EU354" s="80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5"/>
      <c r="FH354" s="84"/>
      <c r="FI354" s="64"/>
      <c r="FJ354" s="8"/>
      <c r="FK354" s="48"/>
      <c r="FL354" s="48"/>
      <c r="FM354" s="48"/>
      <c r="FN354" s="48"/>
      <c r="FO354" s="48"/>
      <c r="FP354" s="48"/>
      <c r="FQ354" s="48"/>
      <c r="FR354" s="48"/>
      <c r="FS354" s="48"/>
      <c r="FT354" s="48"/>
      <c r="FU354" s="48"/>
      <c r="FV354" s="48"/>
      <c r="FW354" s="48"/>
      <c r="FX354" s="48"/>
      <c r="FY354" s="48"/>
      <c r="FZ354" s="48"/>
      <c r="GA354" s="48"/>
      <c r="GB354" s="48"/>
      <c r="GC354" s="48"/>
      <c r="GD354" s="48"/>
      <c r="GE354" s="48"/>
      <c r="GF354" s="48"/>
      <c r="GG354" s="48"/>
      <c r="GH354" s="48"/>
      <c r="GI354" s="48"/>
      <c r="GJ354" s="8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77"/>
      <c r="GY354" s="77"/>
      <c r="GZ354" s="77"/>
    </row>
    <row r="355" spans="1:208">
      <c r="A355" s="48"/>
      <c r="B355" s="49"/>
      <c r="C355" s="50"/>
      <c r="D355" s="51"/>
      <c r="E355" s="50"/>
      <c r="F355" s="52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90"/>
      <c r="V355" s="91"/>
      <c r="W355" s="92"/>
      <c r="X355" s="92"/>
      <c r="Y355" s="92"/>
      <c r="Z355" s="91"/>
      <c r="AA355" s="93"/>
      <c r="AB355" s="99"/>
      <c r="AC355" s="54"/>
      <c r="AD355" s="54"/>
      <c r="AE355" s="54"/>
      <c r="AF355" s="54"/>
      <c r="AG355" s="54"/>
      <c r="AH355" s="54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113"/>
      <c r="BB355" s="110"/>
      <c r="BC355" s="110"/>
      <c r="BD355" s="110"/>
      <c r="BE355" s="110"/>
      <c r="BF355" s="110"/>
      <c r="BG355" s="110"/>
      <c r="BH355" s="110"/>
      <c r="BI355" s="113"/>
      <c r="BJ355" s="110"/>
      <c r="BK355" s="110"/>
      <c r="BL355" s="110"/>
      <c r="BM355" s="110"/>
      <c r="BN355" s="113"/>
      <c r="BO355" s="110"/>
      <c r="BP355" s="110"/>
      <c r="BQ355" s="110"/>
      <c r="BR355" s="110"/>
      <c r="BS355" s="110"/>
      <c r="BT355" s="110"/>
      <c r="BU355" s="110"/>
      <c r="BV355" s="110"/>
      <c r="BW355" s="110"/>
      <c r="BX355" s="113"/>
      <c r="BY355" s="110"/>
      <c r="BZ355" s="110"/>
      <c r="CA355" s="110"/>
      <c r="CB355" s="110"/>
      <c r="CC355" s="110"/>
      <c r="CD355" s="110"/>
      <c r="CE355" s="110"/>
      <c r="CF355" s="110"/>
      <c r="CG355" s="113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66"/>
      <c r="DA355" s="70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56"/>
      <c r="DR355" s="57"/>
      <c r="DS355" s="58"/>
      <c r="DT355" s="58"/>
      <c r="DU355" s="58"/>
      <c r="DV355" s="58"/>
      <c r="DW355" s="58"/>
      <c r="DX355" s="58"/>
      <c r="DY355" s="58"/>
      <c r="DZ355" s="59"/>
      <c r="EA355" s="60"/>
      <c r="EB355" s="61"/>
      <c r="EC355" s="62"/>
      <c r="ED355" s="2"/>
      <c r="EE355" s="63"/>
      <c r="EF355" s="63"/>
      <c r="EG355" s="63"/>
      <c r="EH355" s="63"/>
      <c r="EI355" s="63"/>
      <c r="EJ355" s="63"/>
      <c r="EK355" s="63"/>
      <c r="EL355" s="63"/>
      <c r="EM355" s="63"/>
      <c r="EN355" s="63"/>
      <c r="EO355" s="63"/>
      <c r="EP355" s="63"/>
      <c r="EQ355" s="63"/>
      <c r="ER355" s="63"/>
      <c r="ES355" s="63"/>
      <c r="ET355" s="63"/>
      <c r="EU355" s="80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5"/>
      <c r="FH355" s="84"/>
      <c r="FI355" s="64"/>
      <c r="FJ355" s="8"/>
      <c r="FK355" s="48"/>
      <c r="FL355" s="48"/>
      <c r="FM355" s="48"/>
      <c r="FN355" s="48"/>
      <c r="FO355" s="48"/>
      <c r="FP355" s="48"/>
      <c r="FQ355" s="48"/>
      <c r="FR355" s="48"/>
      <c r="FS355" s="48"/>
      <c r="FT355" s="48"/>
      <c r="FU355" s="48"/>
      <c r="FV355" s="48"/>
      <c r="FW355" s="48"/>
      <c r="FX355" s="48"/>
      <c r="FY355" s="48"/>
      <c r="FZ355" s="48"/>
      <c r="GA355" s="48"/>
      <c r="GB355" s="48"/>
      <c r="GC355" s="48"/>
      <c r="GD355" s="48"/>
      <c r="GE355" s="48"/>
      <c r="GF355" s="48"/>
      <c r="GG355" s="48"/>
      <c r="GH355" s="48"/>
      <c r="GI355" s="48"/>
      <c r="GJ355" s="8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77"/>
      <c r="GY355" s="77"/>
      <c r="GZ355" s="77"/>
    </row>
    <row r="356" spans="1:208">
      <c r="A356" s="48"/>
      <c r="B356" s="49"/>
      <c r="C356" s="50"/>
      <c r="D356" s="51"/>
      <c r="E356" s="50"/>
      <c r="F356" s="52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90"/>
      <c r="V356" s="91"/>
      <c r="W356" s="92"/>
      <c r="X356" s="92"/>
      <c r="Y356" s="92"/>
      <c r="Z356" s="91"/>
      <c r="AA356" s="93"/>
      <c r="AB356" s="99"/>
      <c r="AC356" s="54"/>
      <c r="AD356" s="54"/>
      <c r="AE356" s="54"/>
      <c r="AF356" s="54"/>
      <c r="AG356" s="54"/>
      <c r="AH356" s="54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113"/>
      <c r="BB356" s="110"/>
      <c r="BC356" s="110"/>
      <c r="BD356" s="110"/>
      <c r="BE356" s="110"/>
      <c r="BF356" s="110"/>
      <c r="BG356" s="110"/>
      <c r="BH356" s="110"/>
      <c r="BI356" s="113"/>
      <c r="BJ356" s="110"/>
      <c r="BK356" s="110"/>
      <c r="BL356" s="110"/>
      <c r="BM356" s="110"/>
      <c r="BN356" s="113"/>
      <c r="BO356" s="110"/>
      <c r="BP356" s="110"/>
      <c r="BQ356" s="110"/>
      <c r="BR356" s="110"/>
      <c r="BS356" s="110"/>
      <c r="BT356" s="110"/>
      <c r="BU356" s="110"/>
      <c r="BV356" s="110"/>
      <c r="BW356" s="110"/>
      <c r="BX356" s="113"/>
      <c r="BY356" s="110"/>
      <c r="BZ356" s="110"/>
      <c r="CA356" s="110"/>
      <c r="CB356" s="110"/>
      <c r="CC356" s="110"/>
      <c r="CD356" s="110"/>
      <c r="CE356" s="110"/>
      <c r="CF356" s="110"/>
      <c r="CG356" s="113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66"/>
      <c r="DA356" s="70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56"/>
      <c r="DR356" s="57"/>
      <c r="DS356" s="58"/>
      <c r="DT356" s="58"/>
      <c r="DU356" s="58"/>
      <c r="DV356" s="58"/>
      <c r="DW356" s="58"/>
      <c r="DX356" s="58"/>
      <c r="DY356" s="58"/>
      <c r="DZ356" s="59"/>
      <c r="EA356" s="60"/>
      <c r="EB356" s="61"/>
      <c r="EC356" s="62"/>
      <c r="ED356" s="2"/>
      <c r="EE356" s="63"/>
      <c r="EF356" s="63"/>
      <c r="EG356" s="63"/>
      <c r="EH356" s="63"/>
      <c r="EI356" s="63"/>
      <c r="EJ356" s="63"/>
      <c r="EK356" s="63"/>
      <c r="EL356" s="63"/>
      <c r="EM356" s="63"/>
      <c r="EN356" s="63"/>
      <c r="EO356" s="63"/>
      <c r="EP356" s="63"/>
      <c r="EQ356" s="63"/>
      <c r="ER356" s="63"/>
      <c r="ES356" s="63"/>
      <c r="ET356" s="63"/>
      <c r="EU356" s="80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5"/>
      <c r="FH356" s="84"/>
      <c r="FI356" s="64"/>
      <c r="FJ356" s="8"/>
      <c r="FK356" s="48"/>
      <c r="FL356" s="48"/>
      <c r="FM356" s="48"/>
      <c r="FN356" s="48"/>
      <c r="FO356" s="48"/>
      <c r="FP356" s="48"/>
      <c r="FQ356" s="48"/>
      <c r="FR356" s="48"/>
      <c r="FS356" s="48"/>
      <c r="FT356" s="48"/>
      <c r="FU356" s="48"/>
      <c r="FV356" s="48"/>
      <c r="FW356" s="48"/>
      <c r="FX356" s="48"/>
      <c r="FY356" s="48"/>
      <c r="FZ356" s="48"/>
      <c r="GA356" s="48"/>
      <c r="GB356" s="48"/>
      <c r="GC356" s="48"/>
      <c r="GD356" s="48"/>
      <c r="GE356" s="48"/>
      <c r="GF356" s="48"/>
      <c r="GG356" s="48"/>
      <c r="GH356" s="48"/>
      <c r="GI356" s="48"/>
      <c r="GJ356" s="8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77"/>
      <c r="GY356" s="77"/>
      <c r="GZ356" s="77"/>
    </row>
    <row r="357" spans="1:208">
      <c r="A357" s="48"/>
      <c r="B357" s="49"/>
      <c r="C357" s="50"/>
      <c r="D357" s="51"/>
      <c r="E357" s="50"/>
      <c r="F357" s="52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90"/>
      <c r="V357" s="91"/>
      <c r="W357" s="92"/>
      <c r="X357" s="92"/>
      <c r="Y357" s="92"/>
      <c r="Z357" s="91"/>
      <c r="AA357" s="93"/>
      <c r="AB357" s="99"/>
      <c r="AC357" s="54"/>
      <c r="AD357" s="54"/>
      <c r="AE357" s="54"/>
      <c r="AF357" s="54"/>
      <c r="AG357" s="54"/>
      <c r="AH357" s="54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113"/>
      <c r="BB357" s="110"/>
      <c r="BC357" s="110"/>
      <c r="BD357" s="110"/>
      <c r="BE357" s="110"/>
      <c r="BF357" s="110"/>
      <c r="BG357" s="110"/>
      <c r="BH357" s="110"/>
      <c r="BI357" s="113"/>
      <c r="BJ357" s="110"/>
      <c r="BK357" s="110"/>
      <c r="BL357" s="110"/>
      <c r="BM357" s="110"/>
      <c r="BN357" s="113"/>
      <c r="BO357" s="110"/>
      <c r="BP357" s="110"/>
      <c r="BQ357" s="110"/>
      <c r="BR357" s="110"/>
      <c r="BS357" s="110"/>
      <c r="BT357" s="110"/>
      <c r="BU357" s="110"/>
      <c r="BV357" s="110"/>
      <c r="BW357" s="110"/>
      <c r="BX357" s="113"/>
      <c r="BY357" s="110"/>
      <c r="BZ357" s="110"/>
      <c r="CA357" s="110"/>
      <c r="CB357" s="110"/>
      <c r="CC357" s="110"/>
      <c r="CD357" s="110"/>
      <c r="CE357" s="110"/>
      <c r="CF357" s="110"/>
      <c r="CG357" s="113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66"/>
      <c r="DA357" s="70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56"/>
      <c r="DR357" s="57"/>
      <c r="DS357" s="58"/>
      <c r="DT357" s="58"/>
      <c r="DU357" s="58"/>
      <c r="DV357" s="58"/>
      <c r="DW357" s="58"/>
      <c r="DX357" s="58"/>
      <c r="DY357" s="58"/>
      <c r="DZ357" s="59"/>
      <c r="EA357" s="60"/>
      <c r="EB357" s="61"/>
      <c r="EC357" s="62"/>
      <c r="ED357" s="2"/>
      <c r="EE357" s="63"/>
      <c r="EF357" s="63"/>
      <c r="EG357" s="63"/>
      <c r="EH357" s="63"/>
      <c r="EI357" s="63"/>
      <c r="EJ357" s="63"/>
      <c r="EK357" s="63"/>
      <c r="EL357" s="63"/>
      <c r="EM357" s="63"/>
      <c r="EN357" s="63"/>
      <c r="EO357" s="63"/>
      <c r="EP357" s="63"/>
      <c r="EQ357" s="63"/>
      <c r="ER357" s="63"/>
      <c r="ES357" s="63"/>
      <c r="ET357" s="63"/>
      <c r="EU357" s="80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5"/>
      <c r="FH357" s="84"/>
      <c r="FI357" s="64"/>
      <c r="FJ357" s="8"/>
      <c r="FK357" s="48"/>
      <c r="FL357" s="48"/>
      <c r="FM357" s="48"/>
      <c r="FN357" s="48"/>
      <c r="FO357" s="48"/>
      <c r="FP357" s="48"/>
      <c r="FQ357" s="48"/>
      <c r="FR357" s="48"/>
      <c r="FS357" s="48"/>
      <c r="FT357" s="48"/>
      <c r="FU357" s="48"/>
      <c r="FV357" s="48"/>
      <c r="FW357" s="48"/>
      <c r="FX357" s="48"/>
      <c r="FY357" s="48"/>
      <c r="FZ357" s="48"/>
      <c r="GA357" s="48"/>
      <c r="GB357" s="48"/>
      <c r="GC357" s="48"/>
      <c r="GD357" s="48"/>
      <c r="GE357" s="48"/>
      <c r="GF357" s="48"/>
      <c r="GG357" s="48"/>
      <c r="GH357" s="48"/>
      <c r="GI357" s="48"/>
      <c r="GJ357" s="8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77"/>
      <c r="GY357" s="77"/>
      <c r="GZ357" s="77"/>
    </row>
    <row r="358" spans="1:208">
      <c r="A358" s="48"/>
      <c r="B358" s="49"/>
      <c r="C358" s="50"/>
      <c r="D358" s="51"/>
      <c r="E358" s="50"/>
      <c r="F358" s="52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90"/>
      <c r="V358" s="91"/>
      <c r="W358" s="92"/>
      <c r="X358" s="92"/>
      <c r="Y358" s="92"/>
      <c r="Z358" s="91"/>
      <c r="AA358" s="93"/>
      <c r="AB358" s="99"/>
      <c r="AC358" s="54"/>
      <c r="AD358" s="54"/>
      <c r="AE358" s="54"/>
      <c r="AF358" s="54"/>
      <c r="AG358" s="54"/>
      <c r="AH358" s="54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113"/>
      <c r="BB358" s="110"/>
      <c r="BC358" s="110"/>
      <c r="BD358" s="110"/>
      <c r="BE358" s="110"/>
      <c r="BF358" s="110"/>
      <c r="BG358" s="110"/>
      <c r="BH358" s="110"/>
      <c r="BI358" s="113"/>
      <c r="BJ358" s="110"/>
      <c r="BK358" s="110"/>
      <c r="BL358" s="110"/>
      <c r="BM358" s="110"/>
      <c r="BN358" s="113"/>
      <c r="BO358" s="110"/>
      <c r="BP358" s="110"/>
      <c r="BQ358" s="110"/>
      <c r="BR358" s="110"/>
      <c r="BS358" s="110"/>
      <c r="BT358" s="110"/>
      <c r="BU358" s="110"/>
      <c r="BV358" s="110"/>
      <c r="BW358" s="110"/>
      <c r="BX358" s="113"/>
      <c r="BY358" s="110"/>
      <c r="BZ358" s="110"/>
      <c r="CA358" s="110"/>
      <c r="CB358" s="110"/>
      <c r="CC358" s="110"/>
      <c r="CD358" s="110"/>
      <c r="CE358" s="110"/>
      <c r="CF358" s="110"/>
      <c r="CG358" s="113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66"/>
      <c r="DA358" s="70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56"/>
      <c r="DR358" s="57"/>
      <c r="DS358" s="58"/>
      <c r="DT358" s="58"/>
      <c r="DU358" s="58"/>
      <c r="DV358" s="58"/>
      <c r="DW358" s="58"/>
      <c r="DX358" s="58"/>
      <c r="DY358" s="58"/>
      <c r="DZ358" s="59"/>
      <c r="EA358" s="60"/>
      <c r="EB358" s="61"/>
      <c r="EC358" s="62"/>
      <c r="ED358" s="2"/>
      <c r="EE358" s="63"/>
      <c r="EF358" s="63"/>
      <c r="EG358" s="63"/>
      <c r="EH358" s="63"/>
      <c r="EI358" s="63"/>
      <c r="EJ358" s="63"/>
      <c r="EK358" s="63"/>
      <c r="EL358" s="63"/>
      <c r="EM358" s="63"/>
      <c r="EN358" s="63"/>
      <c r="EO358" s="63"/>
      <c r="EP358" s="63"/>
      <c r="EQ358" s="63"/>
      <c r="ER358" s="63"/>
      <c r="ES358" s="63"/>
      <c r="ET358" s="63"/>
      <c r="EU358" s="80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5"/>
      <c r="FH358" s="84"/>
      <c r="FI358" s="64"/>
      <c r="FJ358" s="8"/>
      <c r="FK358" s="48"/>
      <c r="FL358" s="48"/>
      <c r="FM358" s="48"/>
      <c r="FN358" s="48"/>
      <c r="FO358" s="48"/>
      <c r="FP358" s="48"/>
      <c r="FQ358" s="48"/>
      <c r="FR358" s="48"/>
      <c r="FS358" s="48"/>
      <c r="FT358" s="48"/>
      <c r="FU358" s="48"/>
      <c r="FV358" s="48"/>
      <c r="FW358" s="48"/>
      <c r="FX358" s="48"/>
      <c r="FY358" s="48"/>
      <c r="FZ358" s="48"/>
      <c r="GA358" s="48"/>
      <c r="GB358" s="48"/>
      <c r="GC358" s="48"/>
      <c r="GD358" s="48"/>
      <c r="GE358" s="48"/>
      <c r="GF358" s="48"/>
      <c r="GG358" s="48"/>
      <c r="GH358" s="48"/>
      <c r="GI358" s="48"/>
      <c r="GJ358" s="8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77"/>
      <c r="GY358" s="77"/>
      <c r="GZ358" s="77"/>
    </row>
    <row r="359" spans="1:208">
      <c r="A359" s="48"/>
      <c r="B359" s="49"/>
      <c r="C359" s="50"/>
      <c r="D359" s="51"/>
      <c r="E359" s="50"/>
      <c r="F359" s="52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90"/>
      <c r="V359" s="91"/>
      <c r="W359" s="92"/>
      <c r="X359" s="92"/>
      <c r="Y359" s="92"/>
      <c r="Z359" s="91"/>
      <c r="AA359" s="93"/>
      <c r="AB359" s="99"/>
      <c r="AC359" s="54"/>
      <c r="AD359" s="54"/>
      <c r="AE359" s="54"/>
      <c r="AF359" s="54"/>
      <c r="AG359" s="54"/>
      <c r="AH359" s="54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113"/>
      <c r="BB359" s="110"/>
      <c r="BC359" s="110"/>
      <c r="BD359" s="110"/>
      <c r="BE359" s="110"/>
      <c r="BF359" s="110"/>
      <c r="BG359" s="110"/>
      <c r="BH359" s="110"/>
      <c r="BI359" s="113"/>
      <c r="BJ359" s="110"/>
      <c r="BK359" s="110"/>
      <c r="BL359" s="110"/>
      <c r="BM359" s="110"/>
      <c r="BN359" s="113"/>
      <c r="BO359" s="110"/>
      <c r="BP359" s="110"/>
      <c r="BQ359" s="110"/>
      <c r="BR359" s="110"/>
      <c r="BS359" s="110"/>
      <c r="BT359" s="110"/>
      <c r="BU359" s="110"/>
      <c r="BV359" s="110"/>
      <c r="BW359" s="110"/>
      <c r="BX359" s="113"/>
      <c r="BY359" s="110"/>
      <c r="BZ359" s="110"/>
      <c r="CA359" s="110"/>
      <c r="CB359" s="110"/>
      <c r="CC359" s="110"/>
      <c r="CD359" s="110"/>
      <c r="CE359" s="110"/>
      <c r="CF359" s="110"/>
      <c r="CG359" s="113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66"/>
      <c r="DA359" s="70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56"/>
      <c r="DR359" s="57"/>
      <c r="DS359" s="58"/>
      <c r="DT359" s="58"/>
      <c r="DU359" s="58"/>
      <c r="DV359" s="58"/>
      <c r="DW359" s="58"/>
      <c r="DX359" s="58"/>
      <c r="DY359" s="58"/>
      <c r="DZ359" s="59"/>
      <c r="EA359" s="60"/>
      <c r="EB359" s="61"/>
      <c r="EC359" s="62"/>
      <c r="ED359" s="2"/>
      <c r="EE359" s="63"/>
      <c r="EF359" s="63"/>
      <c r="EG359" s="63"/>
      <c r="EH359" s="63"/>
      <c r="EI359" s="63"/>
      <c r="EJ359" s="63"/>
      <c r="EK359" s="63"/>
      <c r="EL359" s="63"/>
      <c r="EM359" s="63"/>
      <c r="EN359" s="63"/>
      <c r="EO359" s="63"/>
      <c r="EP359" s="63"/>
      <c r="EQ359" s="63"/>
      <c r="ER359" s="63"/>
      <c r="ES359" s="63"/>
      <c r="ET359" s="63"/>
      <c r="EU359" s="80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5"/>
      <c r="FH359" s="84"/>
      <c r="FI359" s="64"/>
      <c r="FJ359" s="8"/>
      <c r="FK359" s="48"/>
      <c r="FL359" s="48"/>
      <c r="FM359" s="48"/>
      <c r="FN359" s="48"/>
      <c r="FO359" s="48"/>
      <c r="FP359" s="48"/>
      <c r="FQ359" s="48"/>
      <c r="FR359" s="48"/>
      <c r="FS359" s="48"/>
      <c r="FT359" s="48"/>
      <c r="FU359" s="48"/>
      <c r="FV359" s="48"/>
      <c r="FW359" s="48"/>
      <c r="FX359" s="48"/>
      <c r="FY359" s="48"/>
      <c r="FZ359" s="48"/>
      <c r="GA359" s="48"/>
      <c r="GB359" s="48"/>
      <c r="GC359" s="48"/>
      <c r="GD359" s="48"/>
      <c r="GE359" s="48"/>
      <c r="GF359" s="48"/>
      <c r="GG359" s="48"/>
      <c r="GH359" s="48"/>
      <c r="GI359" s="48"/>
      <c r="GJ359" s="8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77"/>
      <c r="GY359" s="77"/>
      <c r="GZ359" s="77"/>
    </row>
    <row r="360" spans="1:208">
      <c r="A360" s="48"/>
      <c r="B360" s="49"/>
      <c r="C360" s="50"/>
      <c r="D360" s="51"/>
      <c r="E360" s="50"/>
      <c r="F360" s="52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90"/>
      <c r="V360" s="91"/>
      <c r="W360" s="92"/>
      <c r="X360" s="92"/>
      <c r="Y360" s="92"/>
      <c r="Z360" s="91"/>
      <c r="AA360" s="93"/>
      <c r="AB360" s="99"/>
      <c r="AC360" s="54"/>
      <c r="AD360" s="54"/>
      <c r="AE360" s="54"/>
      <c r="AF360" s="54"/>
      <c r="AG360" s="54"/>
      <c r="AH360" s="54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113"/>
      <c r="BB360" s="110"/>
      <c r="BC360" s="110"/>
      <c r="BD360" s="110"/>
      <c r="BE360" s="110"/>
      <c r="BF360" s="110"/>
      <c r="BG360" s="110"/>
      <c r="BH360" s="110"/>
      <c r="BI360" s="113"/>
      <c r="BJ360" s="110"/>
      <c r="BK360" s="110"/>
      <c r="BL360" s="110"/>
      <c r="BM360" s="110"/>
      <c r="BN360" s="113"/>
      <c r="BO360" s="110"/>
      <c r="BP360" s="110"/>
      <c r="BQ360" s="110"/>
      <c r="BR360" s="110"/>
      <c r="BS360" s="110"/>
      <c r="BT360" s="110"/>
      <c r="BU360" s="110"/>
      <c r="BV360" s="110"/>
      <c r="BW360" s="110"/>
      <c r="BX360" s="113"/>
      <c r="BY360" s="110"/>
      <c r="BZ360" s="110"/>
      <c r="CA360" s="110"/>
      <c r="CB360" s="110"/>
      <c r="CC360" s="110"/>
      <c r="CD360" s="110"/>
      <c r="CE360" s="110"/>
      <c r="CF360" s="110"/>
      <c r="CG360" s="113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66"/>
      <c r="DA360" s="70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56"/>
      <c r="DR360" s="57"/>
      <c r="DS360" s="58"/>
      <c r="DT360" s="58"/>
      <c r="DU360" s="58"/>
      <c r="DV360" s="58"/>
      <c r="DW360" s="58"/>
      <c r="DX360" s="58"/>
      <c r="DY360" s="58"/>
      <c r="DZ360" s="59"/>
      <c r="EA360" s="60"/>
      <c r="EB360" s="61"/>
      <c r="EC360" s="62"/>
      <c r="ED360" s="2"/>
      <c r="EE360" s="63"/>
      <c r="EF360" s="63"/>
      <c r="EG360" s="63"/>
      <c r="EH360" s="63"/>
      <c r="EI360" s="63"/>
      <c r="EJ360" s="63"/>
      <c r="EK360" s="63"/>
      <c r="EL360" s="63"/>
      <c r="EM360" s="63"/>
      <c r="EN360" s="63"/>
      <c r="EO360" s="63"/>
      <c r="EP360" s="63"/>
      <c r="EQ360" s="63"/>
      <c r="ER360" s="63"/>
      <c r="ES360" s="63"/>
      <c r="ET360" s="63"/>
      <c r="EU360" s="80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5"/>
      <c r="FH360" s="84"/>
      <c r="FI360" s="64"/>
      <c r="FJ360" s="8"/>
      <c r="FK360" s="48"/>
      <c r="FL360" s="48"/>
      <c r="FM360" s="48"/>
      <c r="FN360" s="48"/>
      <c r="FO360" s="48"/>
      <c r="FP360" s="48"/>
      <c r="FQ360" s="48"/>
      <c r="FR360" s="48"/>
      <c r="FS360" s="48"/>
      <c r="FT360" s="48"/>
      <c r="FU360" s="48"/>
      <c r="FV360" s="48"/>
      <c r="FW360" s="48"/>
      <c r="FX360" s="48"/>
      <c r="FY360" s="48"/>
      <c r="FZ360" s="48"/>
      <c r="GA360" s="48"/>
      <c r="GB360" s="48"/>
      <c r="GC360" s="48"/>
      <c r="GD360" s="48"/>
      <c r="GE360" s="48"/>
      <c r="GF360" s="48"/>
      <c r="GG360" s="48"/>
      <c r="GH360" s="48"/>
      <c r="GI360" s="48"/>
      <c r="GJ360" s="8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77"/>
      <c r="GY360" s="77"/>
      <c r="GZ360" s="77"/>
    </row>
    <row r="361" spans="1:208">
      <c r="A361" s="48"/>
      <c r="B361" s="49"/>
      <c r="C361" s="50"/>
      <c r="D361" s="51"/>
      <c r="E361" s="50"/>
      <c r="F361" s="52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90"/>
      <c r="V361" s="91"/>
      <c r="W361" s="92"/>
      <c r="X361" s="92"/>
      <c r="Y361" s="92"/>
      <c r="Z361" s="91"/>
      <c r="AA361" s="93"/>
      <c r="AB361" s="99"/>
      <c r="AC361" s="54"/>
      <c r="AD361" s="54"/>
      <c r="AE361" s="54"/>
      <c r="AF361" s="54"/>
      <c r="AG361" s="54"/>
      <c r="AH361" s="54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113"/>
      <c r="BB361" s="110"/>
      <c r="BC361" s="110"/>
      <c r="BD361" s="110"/>
      <c r="BE361" s="110"/>
      <c r="BF361" s="110"/>
      <c r="BG361" s="110"/>
      <c r="BH361" s="110"/>
      <c r="BI361" s="113"/>
      <c r="BJ361" s="110"/>
      <c r="BK361" s="110"/>
      <c r="BL361" s="110"/>
      <c r="BM361" s="110"/>
      <c r="BN361" s="113"/>
      <c r="BO361" s="110"/>
      <c r="BP361" s="110"/>
      <c r="BQ361" s="110"/>
      <c r="BR361" s="110"/>
      <c r="BS361" s="110"/>
      <c r="BT361" s="110"/>
      <c r="BU361" s="110"/>
      <c r="BV361" s="110"/>
      <c r="BW361" s="110"/>
      <c r="BX361" s="113"/>
      <c r="BY361" s="110"/>
      <c r="BZ361" s="110"/>
      <c r="CA361" s="110"/>
      <c r="CB361" s="110"/>
      <c r="CC361" s="110"/>
      <c r="CD361" s="110"/>
      <c r="CE361" s="110"/>
      <c r="CF361" s="110"/>
      <c r="CG361" s="113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66"/>
      <c r="DA361" s="70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56"/>
      <c r="DR361" s="57"/>
      <c r="DS361" s="58"/>
      <c r="DT361" s="58"/>
      <c r="DU361" s="58"/>
      <c r="DV361" s="58"/>
      <c r="DW361" s="58"/>
      <c r="DX361" s="58"/>
      <c r="DY361" s="58"/>
      <c r="DZ361" s="59"/>
      <c r="EA361" s="60"/>
      <c r="EB361" s="61"/>
      <c r="EC361" s="62"/>
      <c r="ED361" s="2"/>
      <c r="EE361" s="63"/>
      <c r="EF361" s="63"/>
      <c r="EG361" s="63"/>
      <c r="EH361" s="63"/>
      <c r="EI361" s="63"/>
      <c r="EJ361" s="63"/>
      <c r="EK361" s="63"/>
      <c r="EL361" s="63"/>
      <c r="EM361" s="63"/>
      <c r="EN361" s="63"/>
      <c r="EO361" s="63"/>
      <c r="EP361" s="63"/>
      <c r="EQ361" s="63"/>
      <c r="ER361" s="63"/>
      <c r="ES361" s="63"/>
      <c r="ET361" s="63"/>
      <c r="EU361" s="80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5"/>
      <c r="FH361" s="84"/>
      <c r="FI361" s="64"/>
      <c r="FJ361" s="8"/>
      <c r="FK361" s="48"/>
      <c r="FL361" s="48"/>
      <c r="FM361" s="48"/>
      <c r="FN361" s="48"/>
      <c r="FO361" s="48"/>
      <c r="FP361" s="48"/>
      <c r="FQ361" s="48"/>
      <c r="FR361" s="48"/>
      <c r="FS361" s="48"/>
      <c r="FT361" s="48"/>
      <c r="FU361" s="48"/>
      <c r="FV361" s="48"/>
      <c r="FW361" s="48"/>
      <c r="FX361" s="48"/>
      <c r="FY361" s="48"/>
      <c r="FZ361" s="48"/>
      <c r="GA361" s="48"/>
      <c r="GB361" s="48"/>
      <c r="GC361" s="48"/>
      <c r="GD361" s="48"/>
      <c r="GE361" s="48"/>
      <c r="GF361" s="48"/>
      <c r="GG361" s="48"/>
      <c r="GH361" s="48"/>
      <c r="GI361" s="48"/>
      <c r="GJ361" s="8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77"/>
      <c r="GY361" s="77"/>
      <c r="GZ361" s="77"/>
    </row>
    <row r="362" spans="1:208">
      <c r="A362" s="48"/>
      <c r="B362" s="49"/>
      <c r="C362" s="50"/>
      <c r="D362" s="51"/>
      <c r="E362" s="50"/>
      <c r="F362" s="52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90"/>
      <c r="V362" s="91"/>
      <c r="W362" s="92"/>
      <c r="X362" s="92"/>
      <c r="Y362" s="92"/>
      <c r="Z362" s="91"/>
      <c r="AA362" s="93"/>
      <c r="AB362" s="99"/>
      <c r="AC362" s="54"/>
      <c r="AD362" s="54"/>
      <c r="AE362" s="54"/>
      <c r="AF362" s="54"/>
      <c r="AG362" s="54"/>
      <c r="AH362" s="54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113"/>
      <c r="BB362" s="110"/>
      <c r="BC362" s="110"/>
      <c r="BD362" s="110"/>
      <c r="BE362" s="110"/>
      <c r="BF362" s="110"/>
      <c r="BG362" s="110"/>
      <c r="BH362" s="110"/>
      <c r="BI362" s="113"/>
      <c r="BJ362" s="110"/>
      <c r="BK362" s="110"/>
      <c r="BL362" s="110"/>
      <c r="BM362" s="110"/>
      <c r="BN362" s="113"/>
      <c r="BO362" s="110"/>
      <c r="BP362" s="110"/>
      <c r="BQ362" s="110"/>
      <c r="BR362" s="110"/>
      <c r="BS362" s="110"/>
      <c r="BT362" s="110"/>
      <c r="BU362" s="110"/>
      <c r="BV362" s="110"/>
      <c r="BW362" s="110"/>
      <c r="BX362" s="113"/>
      <c r="BY362" s="110"/>
      <c r="BZ362" s="110"/>
      <c r="CA362" s="110"/>
      <c r="CB362" s="110"/>
      <c r="CC362" s="110"/>
      <c r="CD362" s="110"/>
      <c r="CE362" s="110"/>
      <c r="CF362" s="110"/>
      <c r="CG362" s="113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66"/>
      <c r="DA362" s="70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56"/>
      <c r="DR362" s="57"/>
      <c r="DS362" s="58"/>
      <c r="DT362" s="58"/>
      <c r="DU362" s="58"/>
      <c r="DV362" s="58"/>
      <c r="DW362" s="58"/>
      <c r="DX362" s="58"/>
      <c r="DY362" s="58"/>
      <c r="DZ362" s="59"/>
      <c r="EA362" s="60"/>
      <c r="EB362" s="61"/>
      <c r="EC362" s="62"/>
      <c r="ED362" s="2"/>
      <c r="EE362" s="63"/>
      <c r="EF362" s="63"/>
      <c r="EG362" s="63"/>
      <c r="EH362" s="63"/>
      <c r="EI362" s="63"/>
      <c r="EJ362" s="63"/>
      <c r="EK362" s="63"/>
      <c r="EL362" s="63"/>
      <c r="EM362" s="63"/>
      <c r="EN362" s="63"/>
      <c r="EO362" s="63"/>
      <c r="EP362" s="63"/>
      <c r="EQ362" s="63"/>
      <c r="ER362" s="63"/>
      <c r="ES362" s="63"/>
      <c r="ET362" s="63"/>
      <c r="EU362" s="80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5"/>
      <c r="FH362" s="84"/>
      <c r="FI362" s="64"/>
      <c r="FJ362" s="8"/>
      <c r="FK362" s="48"/>
      <c r="FL362" s="48"/>
      <c r="FM362" s="48"/>
      <c r="FN362" s="48"/>
      <c r="FO362" s="48"/>
      <c r="FP362" s="48"/>
      <c r="FQ362" s="48"/>
      <c r="FR362" s="48"/>
      <c r="FS362" s="48"/>
      <c r="FT362" s="48"/>
      <c r="FU362" s="48"/>
      <c r="FV362" s="48"/>
      <c r="FW362" s="48"/>
      <c r="FX362" s="48"/>
      <c r="FY362" s="48"/>
      <c r="FZ362" s="48"/>
      <c r="GA362" s="48"/>
      <c r="GB362" s="48"/>
      <c r="GC362" s="48"/>
      <c r="GD362" s="48"/>
      <c r="GE362" s="48"/>
      <c r="GF362" s="48"/>
      <c r="GG362" s="48"/>
      <c r="GH362" s="48"/>
      <c r="GI362" s="48"/>
      <c r="GJ362" s="8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77"/>
      <c r="GY362" s="77"/>
      <c r="GZ362" s="77"/>
    </row>
    <row r="363" spans="1:208">
      <c r="A363" s="48"/>
      <c r="B363" s="49"/>
      <c r="C363" s="50"/>
      <c r="D363" s="51"/>
      <c r="E363" s="50"/>
      <c r="F363" s="52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90"/>
      <c r="V363" s="91"/>
      <c r="W363" s="92"/>
      <c r="X363" s="92"/>
      <c r="Y363" s="92"/>
      <c r="Z363" s="91"/>
      <c r="AA363" s="93"/>
      <c r="AB363" s="99"/>
      <c r="AC363" s="54"/>
      <c r="AD363" s="54"/>
      <c r="AE363" s="54"/>
      <c r="AF363" s="54"/>
      <c r="AG363" s="54"/>
      <c r="AH363" s="54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113"/>
      <c r="BB363" s="110"/>
      <c r="BC363" s="110"/>
      <c r="BD363" s="110"/>
      <c r="BE363" s="110"/>
      <c r="BF363" s="110"/>
      <c r="BG363" s="110"/>
      <c r="BH363" s="110"/>
      <c r="BI363" s="113"/>
      <c r="BJ363" s="110"/>
      <c r="BK363" s="110"/>
      <c r="BL363" s="110"/>
      <c r="BM363" s="110"/>
      <c r="BN363" s="113"/>
      <c r="BO363" s="110"/>
      <c r="BP363" s="110"/>
      <c r="BQ363" s="110"/>
      <c r="BR363" s="110"/>
      <c r="BS363" s="110"/>
      <c r="BT363" s="110"/>
      <c r="BU363" s="110"/>
      <c r="BV363" s="110"/>
      <c r="BW363" s="110"/>
      <c r="BX363" s="113"/>
      <c r="BY363" s="110"/>
      <c r="BZ363" s="110"/>
      <c r="CA363" s="110"/>
      <c r="CB363" s="110"/>
      <c r="CC363" s="110"/>
      <c r="CD363" s="110"/>
      <c r="CE363" s="110"/>
      <c r="CF363" s="110"/>
      <c r="CG363" s="113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66"/>
      <c r="DA363" s="70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56"/>
      <c r="DR363" s="57"/>
      <c r="DS363" s="58"/>
      <c r="DT363" s="58"/>
      <c r="DU363" s="58"/>
      <c r="DV363" s="58"/>
      <c r="DW363" s="58"/>
      <c r="DX363" s="58"/>
      <c r="DY363" s="58"/>
      <c r="DZ363" s="59"/>
      <c r="EA363" s="60"/>
      <c r="EB363" s="61"/>
      <c r="EC363" s="62"/>
      <c r="ED363" s="2"/>
      <c r="EE363" s="63"/>
      <c r="EF363" s="63"/>
      <c r="EG363" s="63"/>
      <c r="EH363" s="63"/>
      <c r="EI363" s="63"/>
      <c r="EJ363" s="63"/>
      <c r="EK363" s="63"/>
      <c r="EL363" s="63"/>
      <c r="EM363" s="63"/>
      <c r="EN363" s="63"/>
      <c r="EO363" s="63"/>
      <c r="EP363" s="63"/>
      <c r="EQ363" s="63"/>
      <c r="ER363" s="63"/>
      <c r="ES363" s="63"/>
      <c r="ET363" s="63"/>
      <c r="EU363" s="80"/>
      <c r="EV363" s="64"/>
      <c r="EW363" s="64"/>
      <c r="EX363" s="64"/>
      <c r="EY363" s="64"/>
      <c r="EZ363" s="64"/>
      <c r="FA363" s="64"/>
      <c r="FB363" s="64"/>
      <c r="FC363" s="64"/>
      <c r="FD363" s="64"/>
      <c r="FE363" s="64"/>
      <c r="FF363" s="64"/>
      <c r="FG363" s="65"/>
      <c r="FH363" s="84"/>
      <c r="FI363" s="64"/>
      <c r="FJ363" s="8"/>
      <c r="FK363" s="48"/>
      <c r="FL363" s="48"/>
      <c r="FM363" s="48"/>
      <c r="FN363" s="48"/>
      <c r="FO363" s="48"/>
      <c r="FP363" s="48"/>
      <c r="FQ363" s="48"/>
      <c r="FR363" s="48"/>
      <c r="FS363" s="48"/>
      <c r="FT363" s="48"/>
      <c r="FU363" s="48"/>
      <c r="FV363" s="48"/>
      <c r="FW363" s="48"/>
      <c r="FX363" s="48"/>
      <c r="FY363" s="48"/>
      <c r="FZ363" s="48"/>
      <c r="GA363" s="48"/>
      <c r="GB363" s="48"/>
      <c r="GC363" s="48"/>
      <c r="GD363" s="48"/>
      <c r="GE363" s="48"/>
      <c r="GF363" s="48"/>
      <c r="GG363" s="48"/>
      <c r="GH363" s="48"/>
      <c r="GI363" s="48"/>
      <c r="GJ363" s="8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77"/>
      <c r="GY363" s="77"/>
      <c r="GZ363" s="77"/>
    </row>
    <row r="364" spans="1:208">
      <c r="A364" s="48"/>
      <c r="B364" s="49"/>
      <c r="C364" s="50"/>
      <c r="D364" s="51"/>
      <c r="E364" s="50"/>
      <c r="F364" s="52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90"/>
      <c r="V364" s="91"/>
      <c r="W364" s="92"/>
      <c r="X364" s="92"/>
      <c r="Y364" s="92"/>
      <c r="Z364" s="91"/>
      <c r="AA364" s="93"/>
      <c r="AB364" s="99"/>
      <c r="AC364" s="54"/>
      <c r="AD364" s="54"/>
      <c r="AE364" s="54"/>
      <c r="AF364" s="54"/>
      <c r="AG364" s="54"/>
      <c r="AH364" s="54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113"/>
      <c r="BB364" s="110"/>
      <c r="BC364" s="110"/>
      <c r="BD364" s="110"/>
      <c r="BE364" s="110"/>
      <c r="BF364" s="110"/>
      <c r="BG364" s="110"/>
      <c r="BH364" s="110"/>
      <c r="BI364" s="113"/>
      <c r="BJ364" s="110"/>
      <c r="BK364" s="110"/>
      <c r="BL364" s="110"/>
      <c r="BM364" s="110"/>
      <c r="BN364" s="113"/>
      <c r="BO364" s="110"/>
      <c r="BP364" s="110"/>
      <c r="BQ364" s="110"/>
      <c r="BR364" s="110"/>
      <c r="BS364" s="110"/>
      <c r="BT364" s="110"/>
      <c r="BU364" s="110"/>
      <c r="BV364" s="110"/>
      <c r="BW364" s="110"/>
      <c r="BX364" s="113"/>
      <c r="BY364" s="110"/>
      <c r="BZ364" s="110"/>
      <c r="CA364" s="110"/>
      <c r="CB364" s="110"/>
      <c r="CC364" s="110"/>
      <c r="CD364" s="110"/>
      <c r="CE364" s="110"/>
      <c r="CF364" s="110"/>
      <c r="CG364" s="113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66"/>
      <c r="DA364" s="70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56"/>
      <c r="DR364" s="57"/>
      <c r="DS364" s="58"/>
      <c r="DT364" s="58"/>
      <c r="DU364" s="58"/>
      <c r="DV364" s="58"/>
      <c r="DW364" s="58"/>
      <c r="DX364" s="58"/>
      <c r="DY364" s="58"/>
      <c r="DZ364" s="59"/>
      <c r="EA364" s="60"/>
      <c r="EB364" s="61"/>
      <c r="EC364" s="62"/>
      <c r="ED364" s="2"/>
      <c r="EE364" s="63"/>
      <c r="EF364" s="63"/>
      <c r="EG364" s="63"/>
      <c r="EH364" s="63"/>
      <c r="EI364" s="63"/>
      <c r="EJ364" s="63"/>
      <c r="EK364" s="63"/>
      <c r="EL364" s="63"/>
      <c r="EM364" s="63"/>
      <c r="EN364" s="63"/>
      <c r="EO364" s="63"/>
      <c r="EP364" s="63"/>
      <c r="EQ364" s="63"/>
      <c r="ER364" s="63"/>
      <c r="ES364" s="63"/>
      <c r="ET364" s="63"/>
      <c r="EU364" s="80"/>
      <c r="EV364" s="64"/>
      <c r="EW364" s="64"/>
      <c r="EX364" s="64"/>
      <c r="EY364" s="64"/>
      <c r="EZ364" s="64"/>
      <c r="FA364" s="64"/>
      <c r="FB364" s="64"/>
      <c r="FC364" s="64"/>
      <c r="FD364" s="64"/>
      <c r="FE364" s="64"/>
      <c r="FF364" s="64"/>
      <c r="FG364" s="65"/>
      <c r="FH364" s="84"/>
      <c r="FI364" s="64"/>
      <c r="FJ364" s="8"/>
      <c r="FK364" s="48"/>
      <c r="FL364" s="48"/>
      <c r="FM364" s="48"/>
      <c r="FN364" s="48"/>
      <c r="FO364" s="48"/>
      <c r="FP364" s="48"/>
      <c r="FQ364" s="48"/>
      <c r="FR364" s="48"/>
      <c r="FS364" s="48"/>
      <c r="FT364" s="48"/>
      <c r="FU364" s="48"/>
      <c r="FV364" s="48"/>
      <c r="FW364" s="48"/>
      <c r="FX364" s="48"/>
      <c r="FY364" s="48"/>
      <c r="FZ364" s="48"/>
      <c r="GA364" s="48"/>
      <c r="GB364" s="48"/>
      <c r="GC364" s="48"/>
      <c r="GD364" s="48"/>
      <c r="GE364" s="48"/>
      <c r="GF364" s="48"/>
      <c r="GG364" s="48"/>
      <c r="GH364" s="48"/>
      <c r="GI364" s="48"/>
      <c r="GJ364" s="8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77"/>
      <c r="GY364" s="77"/>
      <c r="GZ364" s="77"/>
    </row>
    <row r="365" spans="1:208">
      <c r="A365" s="48"/>
      <c r="B365" s="49"/>
      <c r="C365" s="50"/>
      <c r="D365" s="51"/>
      <c r="E365" s="50"/>
      <c r="F365" s="52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90"/>
      <c r="V365" s="91"/>
      <c r="W365" s="92"/>
      <c r="X365" s="92"/>
      <c r="Y365" s="92"/>
      <c r="Z365" s="91"/>
      <c r="AA365" s="93"/>
      <c r="AB365" s="99"/>
      <c r="AC365" s="54"/>
      <c r="AD365" s="54"/>
      <c r="AE365" s="54"/>
      <c r="AF365" s="54"/>
      <c r="AG365" s="54"/>
      <c r="AH365" s="54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113"/>
      <c r="BB365" s="110"/>
      <c r="BC365" s="110"/>
      <c r="BD365" s="110"/>
      <c r="BE365" s="110"/>
      <c r="BF365" s="110"/>
      <c r="BG365" s="110"/>
      <c r="BH365" s="110"/>
      <c r="BI365" s="113"/>
      <c r="BJ365" s="110"/>
      <c r="BK365" s="110"/>
      <c r="BL365" s="110"/>
      <c r="BM365" s="110"/>
      <c r="BN365" s="113"/>
      <c r="BO365" s="110"/>
      <c r="BP365" s="110"/>
      <c r="BQ365" s="110"/>
      <c r="BR365" s="110"/>
      <c r="BS365" s="110"/>
      <c r="BT365" s="110"/>
      <c r="BU365" s="110"/>
      <c r="BV365" s="110"/>
      <c r="BW365" s="110"/>
      <c r="BX365" s="113"/>
      <c r="BY365" s="110"/>
      <c r="BZ365" s="110"/>
      <c r="CA365" s="110"/>
      <c r="CB365" s="110"/>
      <c r="CC365" s="110"/>
      <c r="CD365" s="110"/>
      <c r="CE365" s="110"/>
      <c r="CF365" s="110"/>
      <c r="CG365" s="113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66"/>
      <c r="DA365" s="70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56"/>
      <c r="DR365" s="57"/>
      <c r="DS365" s="58"/>
      <c r="DT365" s="58"/>
      <c r="DU365" s="58"/>
      <c r="DV365" s="58"/>
      <c r="DW365" s="58"/>
      <c r="DX365" s="58"/>
      <c r="DY365" s="58"/>
      <c r="DZ365" s="59"/>
      <c r="EA365" s="60"/>
      <c r="EB365" s="61"/>
      <c r="EC365" s="62"/>
      <c r="ED365" s="2"/>
      <c r="EE365" s="63"/>
      <c r="EF365" s="63"/>
      <c r="EG365" s="63"/>
      <c r="EH365" s="63"/>
      <c r="EI365" s="63"/>
      <c r="EJ365" s="63"/>
      <c r="EK365" s="63"/>
      <c r="EL365" s="63"/>
      <c r="EM365" s="63"/>
      <c r="EN365" s="63"/>
      <c r="EO365" s="63"/>
      <c r="EP365" s="63"/>
      <c r="EQ365" s="63"/>
      <c r="ER365" s="63"/>
      <c r="ES365" s="63"/>
      <c r="ET365" s="63"/>
      <c r="EU365" s="80"/>
      <c r="EV365" s="64"/>
      <c r="EW365" s="64"/>
      <c r="EX365" s="64"/>
      <c r="EY365" s="64"/>
      <c r="EZ365" s="64"/>
      <c r="FA365" s="64"/>
      <c r="FB365" s="64"/>
      <c r="FC365" s="64"/>
      <c r="FD365" s="64"/>
      <c r="FE365" s="64"/>
      <c r="FF365" s="64"/>
      <c r="FG365" s="65"/>
      <c r="FH365" s="84"/>
      <c r="FI365" s="64"/>
      <c r="FJ365" s="8"/>
      <c r="FK365" s="48"/>
      <c r="FL365" s="48"/>
      <c r="FM365" s="48"/>
      <c r="FN365" s="48"/>
      <c r="FO365" s="48"/>
      <c r="FP365" s="48"/>
      <c r="FQ365" s="48"/>
      <c r="FR365" s="48"/>
      <c r="FS365" s="48"/>
      <c r="FT365" s="48"/>
      <c r="FU365" s="48"/>
      <c r="FV365" s="48"/>
      <c r="FW365" s="48"/>
      <c r="FX365" s="48"/>
      <c r="FY365" s="48"/>
      <c r="FZ365" s="48"/>
      <c r="GA365" s="48"/>
      <c r="GB365" s="48"/>
      <c r="GC365" s="48"/>
      <c r="GD365" s="48"/>
      <c r="GE365" s="48"/>
      <c r="GF365" s="48"/>
      <c r="GG365" s="48"/>
      <c r="GH365" s="48"/>
      <c r="GI365" s="48"/>
      <c r="GJ365" s="8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77"/>
      <c r="GY365" s="77"/>
      <c r="GZ365" s="77"/>
    </row>
    <row r="366" spans="1:208">
      <c r="A366" s="48"/>
      <c r="B366" s="49"/>
      <c r="C366" s="50"/>
      <c r="D366" s="51"/>
      <c r="E366" s="50"/>
      <c r="F366" s="52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90"/>
      <c r="V366" s="91"/>
      <c r="W366" s="92"/>
      <c r="X366" s="92"/>
      <c r="Y366" s="92"/>
      <c r="Z366" s="91"/>
      <c r="AA366" s="93"/>
      <c r="AB366" s="99"/>
      <c r="AC366" s="54"/>
      <c r="AD366" s="54"/>
      <c r="AE366" s="54"/>
      <c r="AF366" s="54"/>
      <c r="AG366" s="54"/>
      <c r="AH366" s="54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113"/>
      <c r="BB366" s="110"/>
      <c r="BC366" s="110"/>
      <c r="BD366" s="110"/>
      <c r="BE366" s="110"/>
      <c r="BF366" s="110"/>
      <c r="BG366" s="110"/>
      <c r="BH366" s="110"/>
      <c r="BI366" s="113"/>
      <c r="BJ366" s="110"/>
      <c r="BK366" s="110"/>
      <c r="BL366" s="110"/>
      <c r="BM366" s="110"/>
      <c r="BN366" s="113"/>
      <c r="BO366" s="110"/>
      <c r="BP366" s="110"/>
      <c r="BQ366" s="110"/>
      <c r="BR366" s="110"/>
      <c r="BS366" s="110"/>
      <c r="BT366" s="110"/>
      <c r="BU366" s="110"/>
      <c r="BV366" s="110"/>
      <c r="BW366" s="110"/>
      <c r="BX366" s="113"/>
      <c r="BY366" s="110"/>
      <c r="BZ366" s="110"/>
      <c r="CA366" s="110"/>
      <c r="CB366" s="110"/>
      <c r="CC366" s="110"/>
      <c r="CD366" s="110"/>
      <c r="CE366" s="110"/>
      <c r="CF366" s="110"/>
      <c r="CG366" s="113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66"/>
      <c r="DA366" s="70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56"/>
      <c r="DR366" s="57"/>
      <c r="DS366" s="58"/>
      <c r="DT366" s="58"/>
      <c r="DU366" s="58"/>
      <c r="DV366" s="58"/>
      <c r="DW366" s="58"/>
      <c r="DX366" s="58"/>
      <c r="DY366" s="58"/>
      <c r="DZ366" s="59"/>
      <c r="EA366" s="60"/>
      <c r="EB366" s="61"/>
      <c r="EC366" s="62"/>
      <c r="ED366" s="2"/>
      <c r="EE366" s="63"/>
      <c r="EF366" s="63"/>
      <c r="EG366" s="63"/>
      <c r="EH366" s="63"/>
      <c r="EI366" s="63"/>
      <c r="EJ366" s="63"/>
      <c r="EK366" s="63"/>
      <c r="EL366" s="63"/>
      <c r="EM366" s="63"/>
      <c r="EN366" s="63"/>
      <c r="EO366" s="63"/>
      <c r="EP366" s="63"/>
      <c r="EQ366" s="63"/>
      <c r="ER366" s="63"/>
      <c r="ES366" s="63"/>
      <c r="ET366" s="63"/>
      <c r="EU366" s="80"/>
      <c r="EV366" s="64"/>
      <c r="EW366" s="64"/>
      <c r="EX366" s="64"/>
      <c r="EY366" s="64"/>
      <c r="EZ366" s="64"/>
      <c r="FA366" s="64"/>
      <c r="FB366" s="64"/>
      <c r="FC366" s="64"/>
      <c r="FD366" s="64"/>
      <c r="FE366" s="64"/>
      <c r="FF366" s="64"/>
      <c r="FG366" s="65"/>
      <c r="FH366" s="84"/>
      <c r="FI366" s="64"/>
      <c r="FJ366" s="8"/>
      <c r="FK366" s="48"/>
      <c r="FL366" s="48"/>
      <c r="FM366" s="48"/>
      <c r="FN366" s="48"/>
      <c r="FO366" s="48"/>
      <c r="FP366" s="48"/>
      <c r="FQ366" s="48"/>
      <c r="FR366" s="48"/>
      <c r="FS366" s="48"/>
      <c r="FT366" s="48"/>
      <c r="FU366" s="48"/>
      <c r="FV366" s="48"/>
      <c r="FW366" s="48"/>
      <c r="FX366" s="48"/>
      <c r="FY366" s="48"/>
      <c r="FZ366" s="48"/>
      <c r="GA366" s="48"/>
      <c r="GB366" s="48"/>
      <c r="GC366" s="48"/>
      <c r="GD366" s="48"/>
      <c r="GE366" s="48"/>
      <c r="GF366" s="48"/>
      <c r="GG366" s="48"/>
      <c r="GH366" s="48"/>
      <c r="GI366" s="48"/>
      <c r="GJ366" s="8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77"/>
      <c r="GY366" s="77"/>
      <c r="GZ366" s="77"/>
    </row>
    <row r="367" spans="1:208">
      <c r="A367" s="48"/>
      <c r="B367" s="49"/>
      <c r="C367" s="50"/>
      <c r="D367" s="51"/>
      <c r="E367" s="50"/>
      <c r="F367" s="52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90"/>
      <c r="V367" s="91"/>
      <c r="W367" s="92"/>
      <c r="X367" s="92"/>
      <c r="Y367" s="92"/>
      <c r="Z367" s="91"/>
      <c r="AA367" s="93"/>
      <c r="AB367" s="99"/>
      <c r="AC367" s="54"/>
      <c r="AD367" s="54"/>
      <c r="AE367" s="54"/>
      <c r="AF367" s="54"/>
      <c r="AG367" s="54"/>
      <c r="AH367" s="54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113"/>
      <c r="BB367" s="110"/>
      <c r="BC367" s="110"/>
      <c r="BD367" s="110"/>
      <c r="BE367" s="110"/>
      <c r="BF367" s="110"/>
      <c r="BG367" s="110"/>
      <c r="BH367" s="110"/>
      <c r="BI367" s="113"/>
      <c r="BJ367" s="110"/>
      <c r="BK367" s="110"/>
      <c r="BL367" s="110"/>
      <c r="BM367" s="110"/>
      <c r="BN367" s="113"/>
      <c r="BO367" s="110"/>
      <c r="BP367" s="110"/>
      <c r="BQ367" s="110"/>
      <c r="BR367" s="110"/>
      <c r="BS367" s="110"/>
      <c r="BT367" s="110"/>
      <c r="BU367" s="110"/>
      <c r="BV367" s="110"/>
      <c r="BW367" s="110"/>
      <c r="BX367" s="113"/>
      <c r="BY367" s="110"/>
      <c r="BZ367" s="110"/>
      <c r="CA367" s="110"/>
      <c r="CB367" s="110"/>
      <c r="CC367" s="110"/>
      <c r="CD367" s="110"/>
      <c r="CE367" s="110"/>
      <c r="CF367" s="110"/>
      <c r="CG367" s="113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66"/>
      <c r="DA367" s="70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56"/>
      <c r="DR367" s="57"/>
      <c r="DS367" s="58"/>
      <c r="DT367" s="58"/>
      <c r="DU367" s="58"/>
      <c r="DV367" s="58"/>
      <c r="DW367" s="58"/>
      <c r="DX367" s="58"/>
      <c r="DY367" s="58"/>
      <c r="DZ367" s="59"/>
      <c r="EA367" s="60"/>
      <c r="EB367" s="61"/>
      <c r="EC367" s="62"/>
      <c r="ED367" s="2"/>
      <c r="EE367" s="63"/>
      <c r="EF367" s="63"/>
      <c r="EG367" s="63"/>
      <c r="EH367" s="63"/>
      <c r="EI367" s="63"/>
      <c r="EJ367" s="63"/>
      <c r="EK367" s="63"/>
      <c r="EL367" s="63"/>
      <c r="EM367" s="63"/>
      <c r="EN367" s="63"/>
      <c r="EO367" s="63"/>
      <c r="EP367" s="63"/>
      <c r="EQ367" s="63"/>
      <c r="ER367" s="63"/>
      <c r="ES367" s="63"/>
      <c r="ET367" s="63"/>
      <c r="EU367" s="80"/>
      <c r="EV367" s="64"/>
      <c r="EW367" s="64"/>
      <c r="EX367" s="64"/>
      <c r="EY367" s="64"/>
      <c r="EZ367" s="64"/>
      <c r="FA367" s="64"/>
      <c r="FB367" s="64"/>
      <c r="FC367" s="64"/>
      <c r="FD367" s="64"/>
      <c r="FE367" s="64"/>
      <c r="FF367" s="64"/>
      <c r="FG367" s="65"/>
      <c r="FH367" s="84"/>
      <c r="FI367" s="64"/>
      <c r="FJ367" s="8"/>
      <c r="FK367" s="48"/>
      <c r="FL367" s="48"/>
      <c r="FM367" s="48"/>
      <c r="FN367" s="48"/>
      <c r="FO367" s="48"/>
      <c r="FP367" s="48"/>
      <c r="FQ367" s="48"/>
      <c r="FR367" s="48"/>
      <c r="FS367" s="48"/>
      <c r="FT367" s="48"/>
      <c r="FU367" s="48"/>
      <c r="FV367" s="48"/>
      <c r="FW367" s="48"/>
      <c r="FX367" s="48"/>
      <c r="FY367" s="48"/>
      <c r="FZ367" s="48"/>
      <c r="GA367" s="48"/>
      <c r="GB367" s="48"/>
      <c r="GC367" s="48"/>
      <c r="GD367" s="48"/>
      <c r="GE367" s="48"/>
      <c r="GF367" s="48"/>
      <c r="GG367" s="48"/>
      <c r="GH367" s="48"/>
      <c r="GI367" s="48"/>
      <c r="GJ367" s="8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77"/>
      <c r="GY367" s="77"/>
      <c r="GZ367" s="77"/>
    </row>
    <row r="368" spans="1:208">
      <c r="A368" s="48"/>
      <c r="B368" s="49"/>
      <c r="C368" s="50"/>
      <c r="D368" s="51"/>
      <c r="E368" s="50"/>
      <c r="F368" s="52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90"/>
      <c r="V368" s="91"/>
      <c r="W368" s="92"/>
      <c r="X368" s="92"/>
      <c r="Y368" s="92"/>
      <c r="Z368" s="91"/>
      <c r="AA368" s="93"/>
      <c r="AB368" s="99"/>
      <c r="AC368" s="54"/>
      <c r="AD368" s="54"/>
      <c r="AE368" s="54"/>
      <c r="AF368" s="54"/>
      <c r="AG368" s="54"/>
      <c r="AH368" s="54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113"/>
      <c r="BB368" s="110"/>
      <c r="BC368" s="110"/>
      <c r="BD368" s="110"/>
      <c r="BE368" s="110"/>
      <c r="BF368" s="110"/>
      <c r="BG368" s="110"/>
      <c r="BH368" s="110"/>
      <c r="BI368" s="113"/>
      <c r="BJ368" s="110"/>
      <c r="BK368" s="110"/>
      <c r="BL368" s="110"/>
      <c r="BM368" s="110"/>
      <c r="BN368" s="113"/>
      <c r="BO368" s="110"/>
      <c r="BP368" s="110"/>
      <c r="BQ368" s="110"/>
      <c r="BR368" s="110"/>
      <c r="BS368" s="110"/>
      <c r="BT368" s="110"/>
      <c r="BU368" s="110"/>
      <c r="BV368" s="110"/>
      <c r="BW368" s="110"/>
      <c r="BX368" s="113"/>
      <c r="BY368" s="110"/>
      <c r="BZ368" s="110"/>
      <c r="CA368" s="110"/>
      <c r="CB368" s="110"/>
      <c r="CC368" s="110"/>
      <c r="CD368" s="110"/>
      <c r="CE368" s="110"/>
      <c r="CF368" s="110"/>
      <c r="CG368" s="113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66"/>
      <c r="DA368" s="70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56"/>
      <c r="DR368" s="57"/>
      <c r="DS368" s="58"/>
      <c r="DT368" s="58"/>
      <c r="DU368" s="58"/>
      <c r="DV368" s="58"/>
      <c r="DW368" s="58"/>
      <c r="DX368" s="58"/>
      <c r="DY368" s="58"/>
      <c r="DZ368" s="59"/>
      <c r="EA368" s="60"/>
      <c r="EB368" s="61"/>
      <c r="EC368" s="62"/>
      <c r="ED368" s="2"/>
      <c r="EE368" s="63"/>
      <c r="EF368" s="63"/>
      <c r="EG368" s="63"/>
      <c r="EH368" s="63"/>
      <c r="EI368" s="63"/>
      <c r="EJ368" s="63"/>
      <c r="EK368" s="63"/>
      <c r="EL368" s="63"/>
      <c r="EM368" s="63"/>
      <c r="EN368" s="63"/>
      <c r="EO368" s="63"/>
      <c r="EP368" s="63"/>
      <c r="EQ368" s="63"/>
      <c r="ER368" s="63"/>
      <c r="ES368" s="63"/>
      <c r="ET368" s="63"/>
      <c r="EU368" s="80"/>
      <c r="EV368" s="64"/>
      <c r="EW368" s="64"/>
      <c r="EX368" s="64"/>
      <c r="EY368" s="64"/>
      <c r="EZ368" s="64"/>
      <c r="FA368" s="64"/>
      <c r="FB368" s="64"/>
      <c r="FC368" s="64"/>
      <c r="FD368" s="64"/>
      <c r="FE368" s="64"/>
      <c r="FF368" s="64"/>
      <c r="FG368" s="65"/>
      <c r="FH368" s="84"/>
      <c r="FI368" s="64"/>
      <c r="FJ368" s="8"/>
      <c r="FK368" s="48"/>
      <c r="FL368" s="48"/>
      <c r="FM368" s="48"/>
      <c r="FN368" s="48"/>
      <c r="FO368" s="48"/>
      <c r="FP368" s="48"/>
      <c r="FQ368" s="48"/>
      <c r="FR368" s="48"/>
      <c r="FS368" s="48"/>
      <c r="FT368" s="48"/>
      <c r="FU368" s="48"/>
      <c r="FV368" s="48"/>
      <c r="FW368" s="48"/>
      <c r="FX368" s="48"/>
      <c r="FY368" s="48"/>
      <c r="FZ368" s="48"/>
      <c r="GA368" s="48"/>
      <c r="GB368" s="48"/>
      <c r="GC368" s="48"/>
      <c r="GD368" s="48"/>
      <c r="GE368" s="48"/>
      <c r="GF368" s="48"/>
      <c r="GG368" s="48"/>
      <c r="GH368" s="48"/>
      <c r="GI368" s="48"/>
      <c r="GJ368" s="8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77"/>
      <c r="GY368" s="77"/>
      <c r="GZ368" s="77"/>
    </row>
    <row r="369" spans="1:208">
      <c r="A369" s="48"/>
      <c r="B369" s="49"/>
      <c r="C369" s="50"/>
      <c r="D369" s="51"/>
      <c r="E369" s="50"/>
      <c r="F369" s="52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90"/>
      <c r="V369" s="91"/>
      <c r="W369" s="92"/>
      <c r="X369" s="92"/>
      <c r="Y369" s="92"/>
      <c r="Z369" s="91"/>
      <c r="AA369" s="93"/>
      <c r="AB369" s="99"/>
      <c r="AC369" s="54"/>
      <c r="AD369" s="54"/>
      <c r="AE369" s="54"/>
      <c r="AF369" s="54"/>
      <c r="AG369" s="54"/>
      <c r="AH369" s="54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113"/>
      <c r="BB369" s="110"/>
      <c r="BC369" s="110"/>
      <c r="BD369" s="110"/>
      <c r="BE369" s="110"/>
      <c r="BF369" s="110"/>
      <c r="BG369" s="110"/>
      <c r="BH369" s="110"/>
      <c r="BI369" s="113"/>
      <c r="BJ369" s="110"/>
      <c r="BK369" s="110"/>
      <c r="BL369" s="110"/>
      <c r="BM369" s="110"/>
      <c r="BN369" s="113"/>
      <c r="BO369" s="110"/>
      <c r="BP369" s="110"/>
      <c r="BQ369" s="110"/>
      <c r="BR369" s="110"/>
      <c r="BS369" s="110"/>
      <c r="BT369" s="110"/>
      <c r="BU369" s="110"/>
      <c r="BV369" s="110"/>
      <c r="BW369" s="110"/>
      <c r="BX369" s="113"/>
      <c r="BY369" s="110"/>
      <c r="BZ369" s="110"/>
      <c r="CA369" s="110"/>
      <c r="CB369" s="110"/>
      <c r="CC369" s="110"/>
      <c r="CD369" s="110"/>
      <c r="CE369" s="110"/>
      <c r="CF369" s="110"/>
      <c r="CG369" s="113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66"/>
      <c r="DA369" s="70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56"/>
      <c r="DR369" s="57"/>
      <c r="DS369" s="58"/>
      <c r="DT369" s="58"/>
      <c r="DU369" s="58"/>
      <c r="DV369" s="58"/>
      <c r="DW369" s="58"/>
      <c r="DX369" s="58"/>
      <c r="DY369" s="58"/>
      <c r="DZ369" s="59"/>
      <c r="EA369" s="60"/>
      <c r="EB369" s="61"/>
      <c r="EC369" s="62"/>
      <c r="ED369" s="2"/>
      <c r="EE369" s="63"/>
      <c r="EF369" s="63"/>
      <c r="EG369" s="63"/>
      <c r="EH369" s="63"/>
      <c r="EI369" s="63"/>
      <c r="EJ369" s="63"/>
      <c r="EK369" s="63"/>
      <c r="EL369" s="63"/>
      <c r="EM369" s="63"/>
      <c r="EN369" s="63"/>
      <c r="EO369" s="63"/>
      <c r="EP369" s="63"/>
      <c r="EQ369" s="63"/>
      <c r="ER369" s="63"/>
      <c r="ES369" s="63"/>
      <c r="ET369" s="63"/>
      <c r="EU369" s="80"/>
      <c r="EV369" s="64"/>
      <c r="EW369" s="64"/>
      <c r="EX369" s="64"/>
      <c r="EY369" s="64"/>
      <c r="EZ369" s="64"/>
      <c r="FA369" s="64"/>
      <c r="FB369" s="64"/>
      <c r="FC369" s="64"/>
      <c r="FD369" s="64"/>
      <c r="FE369" s="64"/>
      <c r="FF369" s="64"/>
      <c r="FG369" s="65"/>
      <c r="FH369" s="84"/>
      <c r="FI369" s="64"/>
      <c r="FJ369" s="8"/>
      <c r="FK369" s="48"/>
      <c r="FL369" s="48"/>
      <c r="FM369" s="48"/>
      <c r="FN369" s="48"/>
      <c r="FO369" s="48"/>
      <c r="FP369" s="48"/>
      <c r="FQ369" s="48"/>
      <c r="FR369" s="48"/>
      <c r="FS369" s="48"/>
      <c r="FT369" s="48"/>
      <c r="FU369" s="48"/>
      <c r="FV369" s="48"/>
      <c r="FW369" s="48"/>
      <c r="FX369" s="48"/>
      <c r="FY369" s="48"/>
      <c r="FZ369" s="48"/>
      <c r="GA369" s="48"/>
      <c r="GB369" s="48"/>
      <c r="GC369" s="48"/>
      <c r="GD369" s="48"/>
      <c r="GE369" s="48"/>
      <c r="GF369" s="48"/>
      <c r="GG369" s="48"/>
      <c r="GH369" s="48"/>
      <c r="GI369" s="48"/>
      <c r="GJ369" s="8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77"/>
      <c r="GY369" s="77"/>
      <c r="GZ369" s="77"/>
    </row>
    <row r="370" spans="1:208">
      <c r="A370" s="48"/>
      <c r="B370" s="49"/>
      <c r="C370" s="50"/>
      <c r="D370" s="51"/>
      <c r="E370" s="50"/>
      <c r="F370" s="52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90"/>
      <c r="V370" s="91"/>
      <c r="W370" s="92"/>
      <c r="X370" s="92"/>
      <c r="Y370" s="92"/>
      <c r="Z370" s="91"/>
      <c r="AA370" s="93"/>
      <c r="AB370" s="99"/>
      <c r="AC370" s="54"/>
      <c r="AD370" s="54"/>
      <c r="AE370" s="54"/>
      <c r="AF370" s="54"/>
      <c r="AG370" s="54"/>
      <c r="AH370" s="54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113"/>
      <c r="BB370" s="110"/>
      <c r="BC370" s="110"/>
      <c r="BD370" s="110"/>
      <c r="BE370" s="110"/>
      <c r="BF370" s="110"/>
      <c r="BG370" s="110"/>
      <c r="BH370" s="110"/>
      <c r="BI370" s="113"/>
      <c r="BJ370" s="110"/>
      <c r="BK370" s="110"/>
      <c r="BL370" s="110"/>
      <c r="BM370" s="110"/>
      <c r="BN370" s="113"/>
      <c r="BO370" s="110"/>
      <c r="BP370" s="110"/>
      <c r="BQ370" s="110"/>
      <c r="BR370" s="110"/>
      <c r="BS370" s="110"/>
      <c r="BT370" s="110"/>
      <c r="BU370" s="110"/>
      <c r="BV370" s="110"/>
      <c r="BW370" s="110"/>
      <c r="BX370" s="113"/>
      <c r="BY370" s="110"/>
      <c r="BZ370" s="110"/>
      <c r="CA370" s="110"/>
      <c r="CB370" s="110"/>
      <c r="CC370" s="110"/>
      <c r="CD370" s="110"/>
      <c r="CE370" s="110"/>
      <c r="CF370" s="110"/>
      <c r="CG370" s="113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66"/>
      <c r="DA370" s="70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56"/>
      <c r="DR370" s="57"/>
      <c r="DS370" s="58"/>
      <c r="DT370" s="58"/>
      <c r="DU370" s="58"/>
      <c r="DV370" s="58"/>
      <c r="DW370" s="58"/>
      <c r="DX370" s="58"/>
      <c r="DY370" s="58"/>
      <c r="DZ370" s="59"/>
      <c r="EA370" s="60"/>
      <c r="EB370" s="61"/>
      <c r="EC370" s="62"/>
      <c r="ED370" s="2"/>
      <c r="EE370" s="63"/>
      <c r="EF370" s="63"/>
      <c r="EG370" s="63"/>
      <c r="EH370" s="63"/>
      <c r="EI370" s="63"/>
      <c r="EJ370" s="63"/>
      <c r="EK370" s="63"/>
      <c r="EL370" s="63"/>
      <c r="EM370" s="63"/>
      <c r="EN370" s="63"/>
      <c r="EO370" s="63"/>
      <c r="EP370" s="63"/>
      <c r="EQ370" s="63"/>
      <c r="ER370" s="63"/>
      <c r="ES370" s="63"/>
      <c r="ET370" s="63"/>
      <c r="EU370" s="80"/>
      <c r="EV370" s="64"/>
      <c r="EW370" s="64"/>
      <c r="EX370" s="64"/>
      <c r="EY370" s="64"/>
      <c r="EZ370" s="64"/>
      <c r="FA370" s="64"/>
      <c r="FB370" s="64"/>
      <c r="FC370" s="64"/>
      <c r="FD370" s="64"/>
      <c r="FE370" s="64"/>
      <c r="FF370" s="64"/>
      <c r="FG370" s="65"/>
      <c r="FH370" s="84"/>
      <c r="FI370" s="64"/>
      <c r="FJ370" s="8"/>
      <c r="FK370" s="48"/>
      <c r="FL370" s="48"/>
      <c r="FM370" s="48"/>
      <c r="FN370" s="48"/>
      <c r="FO370" s="48"/>
      <c r="FP370" s="48"/>
      <c r="FQ370" s="48"/>
      <c r="FR370" s="48"/>
      <c r="FS370" s="48"/>
      <c r="FT370" s="48"/>
      <c r="FU370" s="48"/>
      <c r="FV370" s="48"/>
      <c r="FW370" s="48"/>
      <c r="FX370" s="48"/>
      <c r="FY370" s="48"/>
      <c r="FZ370" s="48"/>
      <c r="GA370" s="48"/>
      <c r="GB370" s="48"/>
      <c r="GC370" s="48"/>
      <c r="GD370" s="48"/>
      <c r="GE370" s="48"/>
      <c r="GF370" s="48"/>
      <c r="GG370" s="48"/>
      <c r="GH370" s="48"/>
      <c r="GI370" s="48"/>
      <c r="GJ370" s="8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77"/>
      <c r="GY370" s="77"/>
      <c r="GZ370" s="77"/>
    </row>
    <row r="371" spans="1:208">
      <c r="A371" s="48"/>
      <c r="B371" s="49"/>
      <c r="C371" s="50"/>
      <c r="D371" s="51"/>
      <c r="E371" s="50"/>
      <c r="F371" s="52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90"/>
      <c r="V371" s="91"/>
      <c r="W371" s="92"/>
      <c r="X371" s="92"/>
      <c r="Y371" s="92"/>
      <c r="Z371" s="91"/>
      <c r="AA371" s="93"/>
      <c r="AB371" s="99"/>
      <c r="AC371" s="54"/>
      <c r="AD371" s="54"/>
      <c r="AE371" s="54"/>
      <c r="AF371" s="54"/>
      <c r="AG371" s="54"/>
      <c r="AH371" s="54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113"/>
      <c r="BB371" s="110"/>
      <c r="BC371" s="110"/>
      <c r="BD371" s="110"/>
      <c r="BE371" s="110"/>
      <c r="BF371" s="110"/>
      <c r="BG371" s="110"/>
      <c r="BH371" s="110"/>
      <c r="BI371" s="113"/>
      <c r="BJ371" s="110"/>
      <c r="BK371" s="110"/>
      <c r="BL371" s="110"/>
      <c r="BM371" s="110"/>
      <c r="BN371" s="113"/>
      <c r="BO371" s="110"/>
      <c r="BP371" s="110"/>
      <c r="BQ371" s="110"/>
      <c r="BR371" s="110"/>
      <c r="BS371" s="110"/>
      <c r="BT371" s="110"/>
      <c r="BU371" s="110"/>
      <c r="BV371" s="110"/>
      <c r="BW371" s="110"/>
      <c r="BX371" s="113"/>
      <c r="BY371" s="110"/>
      <c r="BZ371" s="110"/>
      <c r="CA371" s="110"/>
      <c r="CB371" s="110"/>
      <c r="CC371" s="110"/>
      <c r="CD371" s="110"/>
      <c r="CE371" s="110"/>
      <c r="CF371" s="110"/>
      <c r="CG371" s="113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66"/>
      <c r="DA371" s="70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56"/>
      <c r="DR371" s="57"/>
      <c r="DS371" s="58"/>
      <c r="DT371" s="58"/>
      <c r="DU371" s="58"/>
      <c r="DV371" s="58"/>
      <c r="DW371" s="58"/>
      <c r="DX371" s="58"/>
      <c r="DY371" s="58"/>
      <c r="DZ371" s="59"/>
      <c r="EA371" s="60"/>
      <c r="EB371" s="61"/>
      <c r="EC371" s="62"/>
      <c r="ED371" s="2"/>
      <c r="EE371" s="63"/>
      <c r="EF371" s="63"/>
      <c r="EG371" s="63"/>
      <c r="EH371" s="63"/>
      <c r="EI371" s="63"/>
      <c r="EJ371" s="63"/>
      <c r="EK371" s="63"/>
      <c r="EL371" s="63"/>
      <c r="EM371" s="63"/>
      <c r="EN371" s="63"/>
      <c r="EO371" s="63"/>
      <c r="EP371" s="63"/>
      <c r="EQ371" s="63"/>
      <c r="ER371" s="63"/>
      <c r="ES371" s="63"/>
      <c r="ET371" s="63"/>
      <c r="EU371" s="80"/>
      <c r="EV371" s="64"/>
      <c r="EW371" s="64"/>
      <c r="EX371" s="64"/>
      <c r="EY371" s="64"/>
      <c r="EZ371" s="64"/>
      <c r="FA371" s="64"/>
      <c r="FB371" s="64"/>
      <c r="FC371" s="64"/>
      <c r="FD371" s="64"/>
      <c r="FE371" s="64"/>
      <c r="FF371" s="64"/>
      <c r="FG371" s="65"/>
      <c r="FH371" s="84"/>
      <c r="FI371" s="64"/>
      <c r="FJ371" s="8"/>
      <c r="FK371" s="48"/>
      <c r="FL371" s="48"/>
      <c r="FM371" s="48"/>
      <c r="FN371" s="48"/>
      <c r="FO371" s="48"/>
      <c r="FP371" s="48"/>
      <c r="FQ371" s="48"/>
      <c r="FR371" s="48"/>
      <c r="FS371" s="48"/>
      <c r="FT371" s="48"/>
      <c r="FU371" s="48"/>
      <c r="FV371" s="48"/>
      <c r="FW371" s="48"/>
      <c r="FX371" s="48"/>
      <c r="FY371" s="48"/>
      <c r="FZ371" s="48"/>
      <c r="GA371" s="48"/>
      <c r="GB371" s="48"/>
      <c r="GC371" s="48"/>
      <c r="GD371" s="48"/>
      <c r="GE371" s="48"/>
      <c r="GF371" s="48"/>
      <c r="GG371" s="48"/>
      <c r="GH371" s="48"/>
      <c r="GI371" s="48"/>
      <c r="GJ371" s="8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77"/>
      <c r="GY371" s="77"/>
      <c r="GZ371" s="77"/>
    </row>
    <row r="372" spans="1:208">
      <c r="A372" s="48"/>
      <c r="B372" s="49"/>
      <c r="C372" s="50"/>
      <c r="D372" s="51"/>
      <c r="E372" s="50"/>
      <c r="F372" s="52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90"/>
      <c r="V372" s="91"/>
      <c r="W372" s="92"/>
      <c r="X372" s="92"/>
      <c r="Y372" s="92"/>
      <c r="Z372" s="91"/>
      <c r="AA372" s="93"/>
      <c r="AB372" s="99"/>
      <c r="AC372" s="54"/>
      <c r="AD372" s="54"/>
      <c r="AE372" s="54"/>
      <c r="AF372" s="54"/>
      <c r="AG372" s="54"/>
      <c r="AH372" s="54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113"/>
      <c r="BB372" s="110"/>
      <c r="BC372" s="110"/>
      <c r="BD372" s="110"/>
      <c r="BE372" s="110"/>
      <c r="BF372" s="110"/>
      <c r="BG372" s="110"/>
      <c r="BH372" s="110"/>
      <c r="BI372" s="113"/>
      <c r="BJ372" s="110"/>
      <c r="BK372" s="110"/>
      <c r="BL372" s="110"/>
      <c r="BM372" s="110"/>
      <c r="BN372" s="113"/>
      <c r="BO372" s="110"/>
      <c r="BP372" s="110"/>
      <c r="BQ372" s="110"/>
      <c r="BR372" s="110"/>
      <c r="BS372" s="110"/>
      <c r="BT372" s="110"/>
      <c r="BU372" s="110"/>
      <c r="BV372" s="110"/>
      <c r="BW372" s="110"/>
      <c r="BX372" s="113"/>
      <c r="BY372" s="110"/>
      <c r="BZ372" s="110"/>
      <c r="CA372" s="110"/>
      <c r="CB372" s="110"/>
      <c r="CC372" s="110"/>
      <c r="CD372" s="110"/>
      <c r="CE372" s="110"/>
      <c r="CF372" s="110"/>
      <c r="CG372" s="113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66"/>
      <c r="DA372" s="70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56"/>
      <c r="DR372" s="57"/>
      <c r="DS372" s="58"/>
      <c r="DT372" s="58"/>
      <c r="DU372" s="58"/>
      <c r="DV372" s="58"/>
      <c r="DW372" s="58"/>
      <c r="DX372" s="58"/>
      <c r="DY372" s="58"/>
      <c r="DZ372" s="59"/>
      <c r="EA372" s="60"/>
      <c r="EB372" s="61"/>
      <c r="EC372" s="62"/>
      <c r="ED372" s="2"/>
      <c r="EE372" s="63"/>
      <c r="EF372" s="63"/>
      <c r="EG372" s="63"/>
      <c r="EH372" s="63"/>
      <c r="EI372" s="63"/>
      <c r="EJ372" s="63"/>
      <c r="EK372" s="63"/>
      <c r="EL372" s="63"/>
      <c r="EM372" s="63"/>
      <c r="EN372" s="63"/>
      <c r="EO372" s="63"/>
      <c r="EP372" s="63"/>
      <c r="EQ372" s="63"/>
      <c r="ER372" s="63"/>
      <c r="ES372" s="63"/>
      <c r="ET372" s="63"/>
      <c r="EU372" s="80"/>
      <c r="EV372" s="64"/>
      <c r="EW372" s="64"/>
      <c r="EX372" s="64"/>
      <c r="EY372" s="64"/>
      <c r="EZ372" s="64"/>
      <c r="FA372" s="64"/>
      <c r="FB372" s="64"/>
      <c r="FC372" s="64"/>
      <c r="FD372" s="64"/>
      <c r="FE372" s="64"/>
      <c r="FF372" s="64"/>
      <c r="FG372" s="65"/>
      <c r="FH372" s="84"/>
      <c r="FI372" s="64"/>
      <c r="FJ372" s="8"/>
      <c r="FK372" s="48"/>
      <c r="FL372" s="48"/>
      <c r="FM372" s="48"/>
      <c r="FN372" s="48"/>
      <c r="FO372" s="48"/>
      <c r="FP372" s="48"/>
      <c r="FQ372" s="48"/>
      <c r="FR372" s="48"/>
      <c r="FS372" s="48"/>
      <c r="FT372" s="48"/>
      <c r="FU372" s="48"/>
      <c r="FV372" s="48"/>
      <c r="FW372" s="48"/>
      <c r="FX372" s="48"/>
      <c r="FY372" s="48"/>
      <c r="FZ372" s="48"/>
      <c r="GA372" s="48"/>
      <c r="GB372" s="48"/>
      <c r="GC372" s="48"/>
      <c r="GD372" s="48"/>
      <c r="GE372" s="48"/>
      <c r="GF372" s="48"/>
      <c r="GG372" s="48"/>
      <c r="GH372" s="48"/>
      <c r="GI372" s="48"/>
      <c r="GJ372" s="8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77"/>
      <c r="GY372" s="77"/>
      <c r="GZ372" s="77"/>
    </row>
    <row r="373" spans="1:208">
      <c r="A373" s="48"/>
      <c r="B373" s="49"/>
      <c r="C373" s="50"/>
      <c r="D373" s="51"/>
      <c r="E373" s="50"/>
      <c r="F373" s="52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90"/>
      <c r="V373" s="91"/>
      <c r="W373" s="92"/>
      <c r="X373" s="92"/>
      <c r="Y373" s="92"/>
      <c r="Z373" s="91"/>
      <c r="AA373" s="93"/>
      <c r="AB373" s="99"/>
      <c r="AC373" s="54"/>
      <c r="AD373" s="54"/>
      <c r="AE373" s="54"/>
      <c r="AF373" s="54"/>
      <c r="AG373" s="54"/>
      <c r="AH373" s="54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113"/>
      <c r="BB373" s="110"/>
      <c r="BC373" s="110"/>
      <c r="BD373" s="110"/>
      <c r="BE373" s="110"/>
      <c r="BF373" s="110"/>
      <c r="BG373" s="110"/>
      <c r="BH373" s="110"/>
      <c r="BI373" s="113"/>
      <c r="BJ373" s="110"/>
      <c r="BK373" s="110"/>
      <c r="BL373" s="110"/>
      <c r="BM373" s="110"/>
      <c r="BN373" s="113"/>
      <c r="BO373" s="110"/>
      <c r="BP373" s="110"/>
      <c r="BQ373" s="110"/>
      <c r="BR373" s="110"/>
      <c r="BS373" s="110"/>
      <c r="BT373" s="110"/>
      <c r="BU373" s="110"/>
      <c r="BV373" s="110"/>
      <c r="BW373" s="110"/>
      <c r="BX373" s="113"/>
      <c r="BY373" s="110"/>
      <c r="BZ373" s="110"/>
      <c r="CA373" s="110"/>
      <c r="CB373" s="110"/>
      <c r="CC373" s="110"/>
      <c r="CD373" s="110"/>
      <c r="CE373" s="110"/>
      <c r="CF373" s="110"/>
      <c r="CG373" s="113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66"/>
      <c r="DA373" s="70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56"/>
      <c r="DR373" s="57"/>
      <c r="DS373" s="58"/>
      <c r="DT373" s="58"/>
      <c r="DU373" s="58"/>
      <c r="DV373" s="58"/>
      <c r="DW373" s="58"/>
      <c r="DX373" s="58"/>
      <c r="DY373" s="58"/>
      <c r="DZ373" s="59"/>
      <c r="EA373" s="60"/>
      <c r="EB373" s="61"/>
      <c r="EC373" s="62"/>
      <c r="ED373" s="2"/>
      <c r="EE373" s="63"/>
      <c r="EF373" s="63"/>
      <c r="EG373" s="63"/>
      <c r="EH373" s="63"/>
      <c r="EI373" s="63"/>
      <c r="EJ373" s="63"/>
      <c r="EK373" s="63"/>
      <c r="EL373" s="63"/>
      <c r="EM373" s="63"/>
      <c r="EN373" s="63"/>
      <c r="EO373" s="63"/>
      <c r="EP373" s="63"/>
      <c r="EQ373" s="63"/>
      <c r="ER373" s="63"/>
      <c r="ES373" s="63"/>
      <c r="ET373" s="63"/>
      <c r="EU373" s="80"/>
      <c r="EV373" s="64"/>
      <c r="EW373" s="64"/>
      <c r="EX373" s="64"/>
      <c r="EY373" s="64"/>
      <c r="EZ373" s="64"/>
      <c r="FA373" s="64"/>
      <c r="FB373" s="64"/>
      <c r="FC373" s="64"/>
      <c r="FD373" s="64"/>
      <c r="FE373" s="64"/>
      <c r="FF373" s="64"/>
      <c r="FG373" s="65"/>
      <c r="FH373" s="84"/>
      <c r="FI373" s="64"/>
      <c r="FJ373" s="8"/>
      <c r="FK373" s="48"/>
      <c r="FL373" s="48"/>
      <c r="FM373" s="48"/>
      <c r="FN373" s="48"/>
      <c r="FO373" s="48"/>
      <c r="FP373" s="48"/>
      <c r="FQ373" s="48"/>
      <c r="FR373" s="48"/>
      <c r="FS373" s="48"/>
      <c r="FT373" s="48"/>
      <c r="FU373" s="48"/>
      <c r="FV373" s="48"/>
      <c r="FW373" s="48"/>
      <c r="FX373" s="48"/>
      <c r="FY373" s="48"/>
      <c r="FZ373" s="48"/>
      <c r="GA373" s="48"/>
      <c r="GB373" s="48"/>
      <c r="GC373" s="48"/>
      <c r="GD373" s="48"/>
      <c r="GE373" s="48"/>
      <c r="GF373" s="48"/>
      <c r="GG373" s="48"/>
      <c r="GH373" s="48"/>
      <c r="GI373" s="48"/>
      <c r="GJ373" s="8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77"/>
      <c r="GY373" s="77"/>
      <c r="GZ373" s="77"/>
    </row>
    <row r="374" spans="1:208">
      <c r="A374" s="48"/>
      <c r="B374" s="49"/>
      <c r="C374" s="50"/>
      <c r="D374" s="51"/>
      <c r="E374" s="50"/>
      <c r="F374" s="52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90"/>
      <c r="V374" s="91"/>
      <c r="W374" s="92"/>
      <c r="X374" s="92"/>
      <c r="Y374" s="92"/>
      <c r="Z374" s="91"/>
      <c r="AA374" s="93"/>
      <c r="AB374" s="99"/>
      <c r="AC374" s="54"/>
      <c r="AD374" s="54"/>
      <c r="AE374" s="54"/>
      <c r="AF374" s="54"/>
      <c r="AG374" s="54"/>
      <c r="AH374" s="54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113"/>
      <c r="BB374" s="110"/>
      <c r="BC374" s="110"/>
      <c r="BD374" s="110"/>
      <c r="BE374" s="110"/>
      <c r="BF374" s="110"/>
      <c r="BG374" s="110"/>
      <c r="BH374" s="110"/>
      <c r="BI374" s="113"/>
      <c r="BJ374" s="110"/>
      <c r="BK374" s="110"/>
      <c r="BL374" s="110"/>
      <c r="BM374" s="110"/>
      <c r="BN374" s="113"/>
      <c r="BO374" s="110"/>
      <c r="BP374" s="110"/>
      <c r="BQ374" s="110"/>
      <c r="BR374" s="110"/>
      <c r="BS374" s="110"/>
      <c r="BT374" s="110"/>
      <c r="BU374" s="110"/>
      <c r="BV374" s="110"/>
      <c r="BW374" s="110"/>
      <c r="BX374" s="113"/>
      <c r="BY374" s="110"/>
      <c r="BZ374" s="110"/>
      <c r="CA374" s="110"/>
      <c r="CB374" s="110"/>
      <c r="CC374" s="110"/>
      <c r="CD374" s="110"/>
      <c r="CE374" s="110"/>
      <c r="CF374" s="110"/>
      <c r="CG374" s="113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66"/>
      <c r="DA374" s="70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56"/>
      <c r="DR374" s="57"/>
      <c r="DS374" s="58"/>
      <c r="DT374" s="58"/>
      <c r="DU374" s="58"/>
      <c r="DV374" s="58"/>
      <c r="DW374" s="58"/>
      <c r="DX374" s="58"/>
      <c r="DY374" s="58"/>
      <c r="DZ374" s="59"/>
      <c r="EA374" s="60"/>
      <c r="EB374" s="61"/>
      <c r="EC374" s="62"/>
      <c r="ED374" s="2"/>
      <c r="EE374" s="63"/>
      <c r="EF374" s="63"/>
      <c r="EG374" s="63"/>
      <c r="EH374" s="63"/>
      <c r="EI374" s="63"/>
      <c r="EJ374" s="63"/>
      <c r="EK374" s="63"/>
      <c r="EL374" s="63"/>
      <c r="EM374" s="63"/>
      <c r="EN374" s="63"/>
      <c r="EO374" s="63"/>
      <c r="EP374" s="63"/>
      <c r="EQ374" s="63"/>
      <c r="ER374" s="63"/>
      <c r="ES374" s="63"/>
      <c r="ET374" s="63"/>
      <c r="EU374" s="80"/>
      <c r="EV374" s="64"/>
      <c r="EW374" s="64"/>
      <c r="EX374" s="64"/>
      <c r="EY374" s="64"/>
      <c r="EZ374" s="64"/>
      <c r="FA374" s="64"/>
      <c r="FB374" s="64"/>
      <c r="FC374" s="64"/>
      <c r="FD374" s="64"/>
      <c r="FE374" s="64"/>
      <c r="FF374" s="64"/>
      <c r="FG374" s="65"/>
      <c r="FH374" s="84"/>
      <c r="FI374" s="64"/>
      <c r="FJ374" s="8"/>
      <c r="FK374" s="48"/>
      <c r="FL374" s="48"/>
      <c r="FM374" s="48"/>
      <c r="FN374" s="48"/>
      <c r="FO374" s="48"/>
      <c r="FP374" s="48"/>
      <c r="FQ374" s="48"/>
      <c r="FR374" s="48"/>
      <c r="FS374" s="48"/>
      <c r="FT374" s="48"/>
      <c r="FU374" s="48"/>
      <c r="FV374" s="48"/>
      <c r="FW374" s="48"/>
      <c r="FX374" s="48"/>
      <c r="FY374" s="48"/>
      <c r="FZ374" s="48"/>
      <c r="GA374" s="48"/>
      <c r="GB374" s="48"/>
      <c r="GC374" s="48"/>
      <c r="GD374" s="48"/>
      <c r="GE374" s="48"/>
      <c r="GF374" s="48"/>
      <c r="GG374" s="48"/>
      <c r="GH374" s="48"/>
      <c r="GI374" s="48"/>
      <c r="GJ374" s="8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77"/>
      <c r="GY374" s="77"/>
      <c r="GZ374" s="77"/>
    </row>
    <row r="375" spans="1:208">
      <c r="A375" s="48"/>
      <c r="B375" s="49"/>
      <c r="C375" s="50"/>
      <c r="D375" s="51"/>
      <c r="E375" s="50"/>
      <c r="F375" s="52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90"/>
      <c r="V375" s="91"/>
      <c r="W375" s="92"/>
      <c r="X375" s="92"/>
      <c r="Y375" s="92"/>
      <c r="Z375" s="91"/>
      <c r="AA375" s="93"/>
      <c r="AB375" s="99"/>
      <c r="AC375" s="54"/>
      <c r="AD375" s="54"/>
      <c r="AE375" s="54"/>
      <c r="AF375" s="54"/>
      <c r="AG375" s="54"/>
      <c r="AH375" s="54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113"/>
      <c r="BB375" s="110"/>
      <c r="BC375" s="110"/>
      <c r="BD375" s="110"/>
      <c r="BE375" s="110"/>
      <c r="BF375" s="110"/>
      <c r="BG375" s="110"/>
      <c r="BH375" s="110"/>
      <c r="BI375" s="113"/>
      <c r="BJ375" s="110"/>
      <c r="BK375" s="110"/>
      <c r="BL375" s="110"/>
      <c r="BM375" s="110"/>
      <c r="BN375" s="113"/>
      <c r="BO375" s="110"/>
      <c r="BP375" s="110"/>
      <c r="BQ375" s="110"/>
      <c r="BR375" s="110"/>
      <c r="BS375" s="110"/>
      <c r="BT375" s="110"/>
      <c r="BU375" s="110"/>
      <c r="BV375" s="110"/>
      <c r="BW375" s="110"/>
      <c r="BX375" s="113"/>
      <c r="BY375" s="110"/>
      <c r="BZ375" s="110"/>
      <c r="CA375" s="110"/>
      <c r="CB375" s="110"/>
      <c r="CC375" s="110"/>
      <c r="CD375" s="110"/>
      <c r="CE375" s="110"/>
      <c r="CF375" s="110"/>
      <c r="CG375" s="113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66"/>
      <c r="DA375" s="70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56"/>
      <c r="DR375" s="57"/>
      <c r="DS375" s="58"/>
      <c r="DT375" s="58"/>
      <c r="DU375" s="58"/>
      <c r="DV375" s="58"/>
      <c r="DW375" s="58"/>
      <c r="DX375" s="58"/>
      <c r="DY375" s="58"/>
      <c r="DZ375" s="59"/>
      <c r="EA375" s="60"/>
      <c r="EB375" s="61"/>
      <c r="EC375" s="62"/>
      <c r="ED375" s="2"/>
      <c r="EE375" s="63"/>
      <c r="EF375" s="63"/>
      <c r="EG375" s="63"/>
      <c r="EH375" s="63"/>
      <c r="EI375" s="63"/>
      <c r="EJ375" s="63"/>
      <c r="EK375" s="63"/>
      <c r="EL375" s="63"/>
      <c r="EM375" s="63"/>
      <c r="EN375" s="63"/>
      <c r="EO375" s="63"/>
      <c r="EP375" s="63"/>
      <c r="EQ375" s="63"/>
      <c r="ER375" s="63"/>
      <c r="ES375" s="63"/>
      <c r="ET375" s="63"/>
      <c r="EU375" s="80"/>
      <c r="EV375" s="64"/>
      <c r="EW375" s="64"/>
      <c r="EX375" s="64"/>
      <c r="EY375" s="64"/>
      <c r="EZ375" s="64"/>
      <c r="FA375" s="64"/>
      <c r="FB375" s="64"/>
      <c r="FC375" s="64"/>
      <c r="FD375" s="64"/>
      <c r="FE375" s="64"/>
      <c r="FF375" s="64"/>
      <c r="FG375" s="65"/>
      <c r="FH375" s="84"/>
      <c r="FI375" s="64"/>
      <c r="FJ375" s="8"/>
      <c r="FK375" s="48"/>
      <c r="FL375" s="48"/>
      <c r="FM375" s="48"/>
      <c r="FN375" s="48"/>
      <c r="FO375" s="48"/>
      <c r="FP375" s="48"/>
      <c r="FQ375" s="48"/>
      <c r="FR375" s="48"/>
      <c r="FS375" s="48"/>
      <c r="FT375" s="48"/>
      <c r="FU375" s="48"/>
      <c r="FV375" s="48"/>
      <c r="FW375" s="48"/>
      <c r="FX375" s="48"/>
      <c r="FY375" s="48"/>
      <c r="FZ375" s="48"/>
      <c r="GA375" s="48"/>
      <c r="GB375" s="48"/>
      <c r="GC375" s="48"/>
      <c r="GD375" s="48"/>
      <c r="GE375" s="48"/>
      <c r="GF375" s="48"/>
      <c r="GG375" s="48"/>
      <c r="GH375" s="48"/>
      <c r="GI375" s="48"/>
      <c r="GJ375" s="8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77"/>
      <c r="GY375" s="77"/>
      <c r="GZ375" s="77"/>
    </row>
    <row r="376" spans="1:208">
      <c r="A376" s="48"/>
      <c r="B376" s="49"/>
      <c r="C376" s="50"/>
      <c r="D376" s="51"/>
      <c r="E376" s="50"/>
      <c r="F376" s="52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90"/>
      <c r="V376" s="91"/>
      <c r="W376" s="92"/>
      <c r="X376" s="92"/>
      <c r="Y376" s="92"/>
      <c r="Z376" s="91"/>
      <c r="AA376" s="93"/>
      <c r="AB376" s="99"/>
      <c r="AC376" s="54"/>
      <c r="AD376" s="54"/>
      <c r="AE376" s="54"/>
      <c r="AF376" s="54"/>
      <c r="AG376" s="54"/>
      <c r="AH376" s="54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113"/>
      <c r="BB376" s="110"/>
      <c r="BC376" s="110"/>
      <c r="BD376" s="110"/>
      <c r="BE376" s="110"/>
      <c r="BF376" s="110"/>
      <c r="BG376" s="110"/>
      <c r="BH376" s="110"/>
      <c r="BI376" s="113"/>
      <c r="BJ376" s="110"/>
      <c r="BK376" s="110"/>
      <c r="BL376" s="110"/>
      <c r="BM376" s="110"/>
      <c r="BN376" s="113"/>
      <c r="BO376" s="110"/>
      <c r="BP376" s="110"/>
      <c r="BQ376" s="110"/>
      <c r="BR376" s="110"/>
      <c r="BS376" s="110"/>
      <c r="BT376" s="110"/>
      <c r="BU376" s="110"/>
      <c r="BV376" s="110"/>
      <c r="BW376" s="110"/>
      <c r="BX376" s="113"/>
      <c r="BY376" s="110"/>
      <c r="BZ376" s="110"/>
      <c r="CA376" s="110"/>
      <c r="CB376" s="110"/>
      <c r="CC376" s="110"/>
      <c r="CD376" s="110"/>
      <c r="CE376" s="110"/>
      <c r="CF376" s="110"/>
      <c r="CG376" s="113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66"/>
      <c r="DA376" s="70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56"/>
      <c r="DR376" s="57"/>
      <c r="DS376" s="58"/>
      <c r="DT376" s="58"/>
      <c r="DU376" s="58"/>
      <c r="DV376" s="58"/>
      <c r="DW376" s="58"/>
      <c r="DX376" s="58"/>
      <c r="DY376" s="58"/>
      <c r="DZ376" s="59"/>
      <c r="EA376" s="60"/>
      <c r="EB376" s="61"/>
      <c r="EC376" s="62"/>
      <c r="ED376" s="2"/>
      <c r="EE376" s="63"/>
      <c r="EF376" s="63"/>
      <c r="EG376" s="63"/>
      <c r="EH376" s="63"/>
      <c r="EI376" s="63"/>
      <c r="EJ376" s="63"/>
      <c r="EK376" s="63"/>
      <c r="EL376" s="63"/>
      <c r="EM376" s="63"/>
      <c r="EN376" s="63"/>
      <c r="EO376" s="63"/>
      <c r="EP376" s="63"/>
      <c r="EQ376" s="63"/>
      <c r="ER376" s="63"/>
      <c r="ES376" s="63"/>
      <c r="ET376" s="63"/>
      <c r="EU376" s="80"/>
      <c r="EV376" s="64"/>
      <c r="EW376" s="64"/>
      <c r="EX376" s="64"/>
      <c r="EY376" s="64"/>
      <c r="EZ376" s="64"/>
      <c r="FA376" s="64"/>
      <c r="FB376" s="64"/>
      <c r="FC376" s="64"/>
      <c r="FD376" s="64"/>
      <c r="FE376" s="64"/>
      <c r="FF376" s="64"/>
      <c r="FG376" s="65"/>
      <c r="FH376" s="84"/>
      <c r="FI376" s="64"/>
      <c r="FJ376" s="8"/>
      <c r="FK376" s="48"/>
      <c r="FL376" s="48"/>
      <c r="FM376" s="48"/>
      <c r="FN376" s="48"/>
      <c r="FO376" s="48"/>
      <c r="FP376" s="48"/>
      <c r="FQ376" s="48"/>
      <c r="FR376" s="48"/>
      <c r="FS376" s="48"/>
      <c r="FT376" s="48"/>
      <c r="FU376" s="48"/>
      <c r="FV376" s="48"/>
      <c r="FW376" s="48"/>
      <c r="FX376" s="48"/>
      <c r="FY376" s="48"/>
      <c r="FZ376" s="48"/>
      <c r="GA376" s="48"/>
      <c r="GB376" s="48"/>
      <c r="GC376" s="48"/>
      <c r="GD376" s="48"/>
      <c r="GE376" s="48"/>
      <c r="GF376" s="48"/>
      <c r="GG376" s="48"/>
      <c r="GH376" s="48"/>
      <c r="GI376" s="48"/>
      <c r="GJ376" s="8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77"/>
      <c r="GY376" s="77"/>
      <c r="GZ376" s="77"/>
    </row>
    <row r="377" spans="1:208">
      <c r="A377" s="48"/>
      <c r="B377" s="49"/>
      <c r="C377" s="50"/>
      <c r="D377" s="51"/>
      <c r="E377" s="50"/>
      <c r="F377" s="52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90"/>
      <c r="V377" s="91"/>
      <c r="W377" s="92"/>
      <c r="X377" s="92"/>
      <c r="Y377" s="92"/>
      <c r="Z377" s="91"/>
      <c r="AA377" s="93"/>
      <c r="AB377" s="99"/>
      <c r="AC377" s="54"/>
      <c r="AD377" s="54"/>
      <c r="AE377" s="54"/>
      <c r="AF377" s="54"/>
      <c r="AG377" s="54"/>
      <c r="AH377" s="54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113"/>
      <c r="BB377" s="110"/>
      <c r="BC377" s="110"/>
      <c r="BD377" s="110"/>
      <c r="BE377" s="110"/>
      <c r="BF377" s="110"/>
      <c r="BG377" s="110"/>
      <c r="BH377" s="110"/>
      <c r="BI377" s="113"/>
      <c r="BJ377" s="110"/>
      <c r="BK377" s="110"/>
      <c r="BL377" s="110"/>
      <c r="BM377" s="110"/>
      <c r="BN377" s="113"/>
      <c r="BO377" s="110"/>
      <c r="BP377" s="110"/>
      <c r="BQ377" s="110"/>
      <c r="BR377" s="110"/>
      <c r="BS377" s="110"/>
      <c r="BT377" s="110"/>
      <c r="BU377" s="110"/>
      <c r="BV377" s="110"/>
      <c r="BW377" s="110"/>
      <c r="BX377" s="113"/>
      <c r="BY377" s="110"/>
      <c r="BZ377" s="110"/>
      <c r="CA377" s="110"/>
      <c r="CB377" s="110"/>
      <c r="CC377" s="110"/>
      <c r="CD377" s="110"/>
      <c r="CE377" s="110"/>
      <c r="CF377" s="110"/>
      <c r="CG377" s="113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66"/>
      <c r="DA377" s="70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56"/>
      <c r="DR377" s="57"/>
      <c r="DS377" s="58"/>
      <c r="DT377" s="58"/>
      <c r="DU377" s="58"/>
      <c r="DV377" s="58"/>
      <c r="DW377" s="58"/>
      <c r="DX377" s="58"/>
      <c r="DY377" s="58"/>
      <c r="DZ377" s="59"/>
      <c r="EA377" s="60"/>
      <c r="EB377" s="61"/>
      <c r="EC377" s="62"/>
      <c r="ED377" s="2"/>
      <c r="EE377" s="63"/>
      <c r="EF377" s="63"/>
      <c r="EG377" s="63"/>
      <c r="EH377" s="63"/>
      <c r="EI377" s="63"/>
      <c r="EJ377" s="63"/>
      <c r="EK377" s="63"/>
      <c r="EL377" s="63"/>
      <c r="EM377" s="63"/>
      <c r="EN377" s="63"/>
      <c r="EO377" s="63"/>
      <c r="EP377" s="63"/>
      <c r="EQ377" s="63"/>
      <c r="ER377" s="63"/>
      <c r="ES377" s="63"/>
      <c r="ET377" s="63"/>
      <c r="EU377" s="80"/>
      <c r="EV377" s="64"/>
      <c r="EW377" s="64"/>
      <c r="EX377" s="64"/>
      <c r="EY377" s="64"/>
      <c r="EZ377" s="64"/>
      <c r="FA377" s="64"/>
      <c r="FB377" s="64"/>
      <c r="FC377" s="64"/>
      <c r="FD377" s="64"/>
      <c r="FE377" s="64"/>
      <c r="FF377" s="64"/>
      <c r="FG377" s="65"/>
      <c r="FH377" s="84"/>
      <c r="FI377" s="64"/>
      <c r="FJ377" s="8"/>
      <c r="FK377" s="48"/>
      <c r="FL377" s="48"/>
      <c r="FM377" s="48"/>
      <c r="FN377" s="48"/>
      <c r="FO377" s="48"/>
      <c r="FP377" s="48"/>
      <c r="FQ377" s="48"/>
      <c r="FR377" s="48"/>
      <c r="FS377" s="48"/>
      <c r="FT377" s="48"/>
      <c r="FU377" s="48"/>
      <c r="FV377" s="48"/>
      <c r="FW377" s="48"/>
      <c r="FX377" s="48"/>
      <c r="FY377" s="48"/>
      <c r="FZ377" s="48"/>
      <c r="GA377" s="48"/>
      <c r="GB377" s="48"/>
      <c r="GC377" s="48"/>
      <c r="GD377" s="48"/>
      <c r="GE377" s="48"/>
      <c r="GF377" s="48"/>
      <c r="GG377" s="48"/>
      <c r="GH377" s="48"/>
      <c r="GI377" s="48"/>
      <c r="GJ377" s="8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77"/>
      <c r="GY377" s="77"/>
      <c r="GZ377" s="77"/>
    </row>
    <row r="378" spans="1:208">
      <c r="A378" s="48"/>
      <c r="B378" s="49"/>
      <c r="C378" s="50"/>
      <c r="D378" s="51"/>
      <c r="E378" s="50"/>
      <c r="F378" s="52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90"/>
      <c r="V378" s="91"/>
      <c r="W378" s="92"/>
      <c r="X378" s="92"/>
      <c r="Y378" s="92"/>
      <c r="Z378" s="91"/>
      <c r="AA378" s="93"/>
      <c r="AB378" s="99"/>
      <c r="AC378" s="54"/>
      <c r="AD378" s="54"/>
      <c r="AE378" s="54"/>
      <c r="AF378" s="54"/>
      <c r="AG378" s="54"/>
      <c r="AH378" s="54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113"/>
      <c r="BB378" s="110"/>
      <c r="BC378" s="110"/>
      <c r="BD378" s="110"/>
      <c r="BE378" s="110"/>
      <c r="BF378" s="110"/>
      <c r="BG378" s="110"/>
      <c r="BH378" s="110"/>
      <c r="BI378" s="113"/>
      <c r="BJ378" s="110"/>
      <c r="BK378" s="110"/>
      <c r="BL378" s="110"/>
      <c r="BM378" s="110"/>
      <c r="BN378" s="113"/>
      <c r="BO378" s="110"/>
      <c r="BP378" s="110"/>
      <c r="BQ378" s="110"/>
      <c r="BR378" s="110"/>
      <c r="BS378" s="110"/>
      <c r="BT378" s="110"/>
      <c r="BU378" s="110"/>
      <c r="BV378" s="110"/>
      <c r="BW378" s="110"/>
      <c r="BX378" s="113"/>
      <c r="BY378" s="110"/>
      <c r="BZ378" s="110"/>
      <c r="CA378" s="110"/>
      <c r="CB378" s="110"/>
      <c r="CC378" s="110"/>
      <c r="CD378" s="110"/>
      <c r="CE378" s="110"/>
      <c r="CF378" s="110"/>
      <c r="CG378" s="113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66"/>
      <c r="DA378" s="70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56"/>
      <c r="DR378" s="57"/>
      <c r="DS378" s="58"/>
      <c r="DT378" s="58"/>
      <c r="DU378" s="58"/>
      <c r="DV378" s="58"/>
      <c r="DW378" s="58"/>
      <c r="DX378" s="58"/>
      <c r="DY378" s="58"/>
      <c r="DZ378" s="59"/>
      <c r="EA378" s="60"/>
      <c r="EB378" s="61"/>
      <c r="EC378" s="62"/>
      <c r="ED378" s="2"/>
      <c r="EE378" s="63"/>
      <c r="EF378" s="63"/>
      <c r="EG378" s="63"/>
      <c r="EH378" s="63"/>
      <c r="EI378" s="63"/>
      <c r="EJ378" s="63"/>
      <c r="EK378" s="63"/>
      <c r="EL378" s="63"/>
      <c r="EM378" s="63"/>
      <c r="EN378" s="63"/>
      <c r="EO378" s="63"/>
      <c r="EP378" s="63"/>
      <c r="EQ378" s="63"/>
      <c r="ER378" s="63"/>
      <c r="ES378" s="63"/>
      <c r="ET378" s="63"/>
      <c r="EU378" s="80"/>
      <c r="EV378" s="64"/>
      <c r="EW378" s="64"/>
      <c r="EX378" s="64"/>
      <c r="EY378" s="64"/>
      <c r="EZ378" s="64"/>
      <c r="FA378" s="64"/>
      <c r="FB378" s="64"/>
      <c r="FC378" s="64"/>
      <c r="FD378" s="64"/>
      <c r="FE378" s="64"/>
      <c r="FF378" s="64"/>
      <c r="FG378" s="65"/>
      <c r="FH378" s="84"/>
      <c r="FI378" s="64"/>
      <c r="FJ378" s="8"/>
      <c r="FK378" s="48"/>
      <c r="FL378" s="48"/>
      <c r="FM378" s="48"/>
      <c r="FN378" s="48"/>
      <c r="FO378" s="48"/>
      <c r="FP378" s="48"/>
      <c r="FQ378" s="48"/>
      <c r="FR378" s="48"/>
      <c r="FS378" s="48"/>
      <c r="FT378" s="48"/>
      <c r="FU378" s="48"/>
      <c r="FV378" s="48"/>
      <c r="FW378" s="48"/>
      <c r="FX378" s="48"/>
      <c r="FY378" s="48"/>
      <c r="FZ378" s="48"/>
      <c r="GA378" s="48"/>
      <c r="GB378" s="48"/>
      <c r="GC378" s="48"/>
      <c r="GD378" s="48"/>
      <c r="GE378" s="48"/>
      <c r="GF378" s="48"/>
      <c r="GG378" s="48"/>
      <c r="GH378" s="48"/>
      <c r="GI378" s="48"/>
      <c r="GJ378" s="8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77"/>
      <c r="GY378" s="77"/>
      <c r="GZ378" s="77"/>
    </row>
    <row r="379" spans="1:208">
      <c r="A379" s="48"/>
      <c r="B379" s="49"/>
      <c r="C379" s="50"/>
      <c r="D379" s="51"/>
      <c r="E379" s="50"/>
      <c r="F379" s="52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90"/>
      <c r="V379" s="91"/>
      <c r="W379" s="92"/>
      <c r="X379" s="92"/>
      <c r="Y379" s="92"/>
      <c r="Z379" s="91"/>
      <c r="AA379" s="93"/>
      <c r="AB379" s="99"/>
      <c r="AC379" s="54"/>
      <c r="AD379" s="54"/>
      <c r="AE379" s="54"/>
      <c r="AF379" s="54"/>
      <c r="AG379" s="54"/>
      <c r="AH379" s="54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113"/>
      <c r="BB379" s="110"/>
      <c r="BC379" s="110"/>
      <c r="BD379" s="110"/>
      <c r="BE379" s="110"/>
      <c r="BF379" s="110"/>
      <c r="BG379" s="110"/>
      <c r="BH379" s="110"/>
      <c r="BI379" s="113"/>
      <c r="BJ379" s="110"/>
      <c r="BK379" s="110"/>
      <c r="BL379" s="110"/>
      <c r="BM379" s="110"/>
      <c r="BN379" s="113"/>
      <c r="BO379" s="110"/>
      <c r="BP379" s="110"/>
      <c r="BQ379" s="110"/>
      <c r="BR379" s="110"/>
      <c r="BS379" s="110"/>
      <c r="BT379" s="110"/>
      <c r="BU379" s="110"/>
      <c r="BV379" s="110"/>
      <c r="BW379" s="110"/>
      <c r="BX379" s="113"/>
      <c r="BY379" s="110"/>
      <c r="BZ379" s="110"/>
      <c r="CA379" s="110"/>
      <c r="CB379" s="110"/>
      <c r="CC379" s="110"/>
      <c r="CD379" s="110"/>
      <c r="CE379" s="110"/>
      <c r="CF379" s="110"/>
      <c r="CG379" s="113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66"/>
      <c r="DA379" s="70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56"/>
      <c r="DR379" s="57"/>
      <c r="DS379" s="58"/>
      <c r="DT379" s="58"/>
      <c r="DU379" s="58"/>
      <c r="DV379" s="58"/>
      <c r="DW379" s="58"/>
      <c r="DX379" s="58"/>
      <c r="DY379" s="58"/>
      <c r="DZ379" s="59"/>
      <c r="EA379" s="60"/>
      <c r="EB379" s="61"/>
      <c r="EC379" s="62"/>
      <c r="ED379" s="2"/>
      <c r="EE379" s="63"/>
      <c r="EF379" s="63"/>
      <c r="EG379" s="63"/>
      <c r="EH379" s="63"/>
      <c r="EI379" s="63"/>
      <c r="EJ379" s="63"/>
      <c r="EK379" s="63"/>
      <c r="EL379" s="63"/>
      <c r="EM379" s="63"/>
      <c r="EN379" s="63"/>
      <c r="EO379" s="63"/>
      <c r="EP379" s="63"/>
      <c r="EQ379" s="63"/>
      <c r="ER379" s="63"/>
      <c r="ES379" s="63"/>
      <c r="ET379" s="63"/>
      <c r="EU379" s="80"/>
      <c r="EV379" s="64"/>
      <c r="EW379" s="64"/>
      <c r="EX379" s="64"/>
      <c r="EY379" s="64"/>
      <c r="EZ379" s="64"/>
      <c r="FA379" s="64"/>
      <c r="FB379" s="64"/>
      <c r="FC379" s="64"/>
      <c r="FD379" s="64"/>
      <c r="FE379" s="64"/>
      <c r="FF379" s="64"/>
      <c r="FG379" s="65"/>
      <c r="FH379" s="84"/>
      <c r="FI379" s="64"/>
      <c r="FJ379" s="8"/>
      <c r="FK379" s="48"/>
      <c r="FL379" s="48"/>
      <c r="FM379" s="48"/>
      <c r="FN379" s="48"/>
      <c r="FO379" s="48"/>
      <c r="FP379" s="48"/>
      <c r="FQ379" s="48"/>
      <c r="FR379" s="48"/>
      <c r="FS379" s="48"/>
      <c r="FT379" s="48"/>
      <c r="FU379" s="48"/>
      <c r="FV379" s="48"/>
      <c r="FW379" s="48"/>
      <c r="FX379" s="48"/>
      <c r="FY379" s="48"/>
      <c r="FZ379" s="48"/>
      <c r="GA379" s="48"/>
      <c r="GB379" s="48"/>
      <c r="GC379" s="48"/>
      <c r="GD379" s="48"/>
      <c r="GE379" s="48"/>
      <c r="GF379" s="48"/>
      <c r="GG379" s="48"/>
      <c r="GH379" s="48"/>
      <c r="GI379" s="48"/>
      <c r="GJ379" s="8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77"/>
      <c r="GY379" s="77"/>
      <c r="GZ379" s="77"/>
    </row>
    <row r="380" spans="1:208">
      <c r="A380" s="48"/>
      <c r="B380" s="49"/>
      <c r="C380" s="50"/>
      <c r="D380" s="51"/>
      <c r="E380" s="50"/>
      <c r="F380" s="52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90"/>
      <c r="V380" s="91"/>
      <c r="W380" s="92"/>
      <c r="X380" s="92"/>
      <c r="Y380" s="92"/>
      <c r="Z380" s="91"/>
      <c r="AA380" s="93"/>
      <c r="AB380" s="99"/>
      <c r="AC380" s="54"/>
      <c r="AD380" s="54"/>
      <c r="AE380" s="54"/>
      <c r="AF380" s="54"/>
      <c r="AG380" s="54"/>
      <c r="AH380" s="54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113"/>
      <c r="BB380" s="110"/>
      <c r="BC380" s="110"/>
      <c r="BD380" s="110"/>
      <c r="BE380" s="110"/>
      <c r="BF380" s="110"/>
      <c r="BG380" s="110"/>
      <c r="BH380" s="110"/>
      <c r="BI380" s="113"/>
      <c r="BJ380" s="110"/>
      <c r="BK380" s="110"/>
      <c r="BL380" s="110"/>
      <c r="BM380" s="110"/>
      <c r="BN380" s="113"/>
      <c r="BO380" s="110"/>
      <c r="BP380" s="110"/>
      <c r="BQ380" s="110"/>
      <c r="BR380" s="110"/>
      <c r="BS380" s="110"/>
      <c r="BT380" s="110"/>
      <c r="BU380" s="110"/>
      <c r="BV380" s="110"/>
      <c r="BW380" s="110"/>
      <c r="BX380" s="113"/>
      <c r="BY380" s="110"/>
      <c r="BZ380" s="110"/>
      <c r="CA380" s="110"/>
      <c r="CB380" s="110"/>
      <c r="CC380" s="110"/>
      <c r="CD380" s="110"/>
      <c r="CE380" s="110"/>
      <c r="CF380" s="110"/>
      <c r="CG380" s="113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66"/>
      <c r="DA380" s="70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56"/>
      <c r="DR380" s="57"/>
      <c r="DS380" s="58"/>
      <c r="DT380" s="58"/>
      <c r="DU380" s="58"/>
      <c r="DV380" s="58"/>
      <c r="DW380" s="58"/>
      <c r="DX380" s="58"/>
      <c r="DY380" s="58"/>
      <c r="DZ380" s="59"/>
      <c r="EA380" s="60"/>
      <c r="EB380" s="61"/>
      <c r="EC380" s="62"/>
      <c r="ED380" s="2"/>
      <c r="EE380" s="63"/>
      <c r="EF380" s="63"/>
      <c r="EG380" s="63"/>
      <c r="EH380" s="63"/>
      <c r="EI380" s="63"/>
      <c r="EJ380" s="63"/>
      <c r="EK380" s="63"/>
      <c r="EL380" s="63"/>
      <c r="EM380" s="63"/>
      <c r="EN380" s="63"/>
      <c r="EO380" s="63"/>
      <c r="EP380" s="63"/>
      <c r="EQ380" s="63"/>
      <c r="ER380" s="63"/>
      <c r="ES380" s="63"/>
      <c r="ET380" s="63"/>
      <c r="EU380" s="80"/>
      <c r="EV380" s="64"/>
      <c r="EW380" s="64"/>
      <c r="EX380" s="64"/>
      <c r="EY380" s="64"/>
      <c r="EZ380" s="64"/>
      <c r="FA380" s="64"/>
      <c r="FB380" s="64"/>
      <c r="FC380" s="64"/>
      <c r="FD380" s="64"/>
      <c r="FE380" s="64"/>
      <c r="FF380" s="64"/>
      <c r="FG380" s="65"/>
      <c r="FH380" s="84"/>
      <c r="FI380" s="64"/>
      <c r="FJ380" s="8"/>
      <c r="FK380" s="48"/>
      <c r="FL380" s="48"/>
      <c r="FM380" s="48"/>
      <c r="FN380" s="48"/>
      <c r="FO380" s="48"/>
      <c r="FP380" s="48"/>
      <c r="FQ380" s="48"/>
      <c r="FR380" s="48"/>
      <c r="FS380" s="48"/>
      <c r="FT380" s="48"/>
      <c r="FU380" s="48"/>
      <c r="FV380" s="48"/>
      <c r="FW380" s="48"/>
      <c r="FX380" s="48"/>
      <c r="FY380" s="48"/>
      <c r="FZ380" s="48"/>
      <c r="GA380" s="48"/>
      <c r="GB380" s="48"/>
      <c r="GC380" s="48"/>
      <c r="GD380" s="48"/>
      <c r="GE380" s="48"/>
      <c r="GF380" s="48"/>
      <c r="GG380" s="48"/>
      <c r="GH380" s="48"/>
      <c r="GI380" s="48"/>
      <c r="GJ380" s="8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77"/>
      <c r="GY380" s="77"/>
      <c r="GZ380" s="77"/>
    </row>
    <row r="381" spans="1:208">
      <c r="A381" s="48"/>
      <c r="B381" s="49"/>
      <c r="C381" s="50"/>
      <c r="D381" s="51"/>
      <c r="E381" s="50"/>
      <c r="F381" s="52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90"/>
      <c r="V381" s="91"/>
      <c r="W381" s="92"/>
      <c r="X381" s="92"/>
      <c r="Y381" s="92"/>
      <c r="Z381" s="91"/>
      <c r="AA381" s="93"/>
      <c r="AB381" s="99"/>
      <c r="AC381" s="54"/>
      <c r="AD381" s="54"/>
      <c r="AE381" s="54"/>
      <c r="AF381" s="54"/>
      <c r="AG381" s="54"/>
      <c r="AH381" s="54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113"/>
      <c r="BB381" s="110"/>
      <c r="BC381" s="110"/>
      <c r="BD381" s="110"/>
      <c r="BE381" s="110"/>
      <c r="BF381" s="110"/>
      <c r="BG381" s="110"/>
      <c r="BH381" s="110"/>
      <c r="BI381" s="113"/>
      <c r="BJ381" s="110"/>
      <c r="BK381" s="110"/>
      <c r="BL381" s="110"/>
      <c r="BM381" s="110"/>
      <c r="BN381" s="113"/>
      <c r="BO381" s="110"/>
      <c r="BP381" s="110"/>
      <c r="BQ381" s="110"/>
      <c r="BR381" s="110"/>
      <c r="BS381" s="110"/>
      <c r="BT381" s="110"/>
      <c r="BU381" s="110"/>
      <c r="BV381" s="110"/>
      <c r="BW381" s="110"/>
      <c r="BX381" s="113"/>
      <c r="BY381" s="110"/>
      <c r="BZ381" s="110"/>
      <c r="CA381" s="110"/>
      <c r="CB381" s="110"/>
      <c r="CC381" s="110"/>
      <c r="CD381" s="110"/>
      <c r="CE381" s="110"/>
      <c r="CF381" s="110"/>
      <c r="CG381" s="113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66"/>
      <c r="DA381" s="70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56"/>
      <c r="DR381" s="57"/>
      <c r="DS381" s="58"/>
      <c r="DT381" s="58"/>
      <c r="DU381" s="58"/>
      <c r="DV381" s="58"/>
      <c r="DW381" s="58"/>
      <c r="DX381" s="58"/>
      <c r="DY381" s="58"/>
      <c r="DZ381" s="59"/>
      <c r="EA381" s="60"/>
      <c r="EB381" s="61"/>
      <c r="EC381" s="62"/>
      <c r="ED381" s="2"/>
      <c r="EE381" s="63"/>
      <c r="EF381" s="63"/>
      <c r="EG381" s="63"/>
      <c r="EH381" s="63"/>
      <c r="EI381" s="63"/>
      <c r="EJ381" s="63"/>
      <c r="EK381" s="63"/>
      <c r="EL381" s="63"/>
      <c r="EM381" s="63"/>
      <c r="EN381" s="63"/>
      <c r="EO381" s="63"/>
      <c r="EP381" s="63"/>
      <c r="EQ381" s="63"/>
      <c r="ER381" s="63"/>
      <c r="ES381" s="63"/>
      <c r="ET381" s="63"/>
      <c r="EU381" s="80"/>
      <c r="EV381" s="64"/>
      <c r="EW381" s="64"/>
      <c r="EX381" s="64"/>
      <c r="EY381" s="64"/>
      <c r="EZ381" s="64"/>
      <c r="FA381" s="64"/>
      <c r="FB381" s="64"/>
      <c r="FC381" s="64"/>
      <c r="FD381" s="64"/>
      <c r="FE381" s="64"/>
      <c r="FF381" s="64"/>
      <c r="FG381" s="65"/>
      <c r="FH381" s="84"/>
      <c r="FI381" s="64"/>
      <c r="FJ381" s="8"/>
      <c r="FK381" s="48"/>
      <c r="FL381" s="48"/>
      <c r="FM381" s="48"/>
      <c r="FN381" s="48"/>
      <c r="FO381" s="48"/>
      <c r="FP381" s="48"/>
      <c r="FQ381" s="48"/>
      <c r="FR381" s="48"/>
      <c r="FS381" s="48"/>
      <c r="FT381" s="48"/>
      <c r="FU381" s="48"/>
      <c r="FV381" s="48"/>
      <c r="FW381" s="48"/>
      <c r="FX381" s="48"/>
      <c r="FY381" s="48"/>
      <c r="FZ381" s="48"/>
      <c r="GA381" s="48"/>
      <c r="GB381" s="48"/>
      <c r="GC381" s="48"/>
      <c r="GD381" s="48"/>
      <c r="GE381" s="48"/>
      <c r="GF381" s="48"/>
      <c r="GG381" s="48"/>
      <c r="GH381" s="48"/>
      <c r="GI381" s="48"/>
      <c r="GJ381" s="8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77"/>
      <c r="GY381" s="77"/>
      <c r="GZ381" s="77"/>
    </row>
    <row r="382" spans="1:208">
      <c r="A382" s="48"/>
      <c r="B382" s="49"/>
      <c r="C382" s="50"/>
      <c r="D382" s="51"/>
      <c r="E382" s="50"/>
      <c r="F382" s="52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90"/>
      <c r="V382" s="91"/>
      <c r="W382" s="92"/>
      <c r="X382" s="92"/>
      <c r="Y382" s="92"/>
      <c r="Z382" s="91"/>
      <c r="AA382" s="93"/>
      <c r="AB382" s="99"/>
      <c r="AC382" s="54"/>
      <c r="AD382" s="54"/>
      <c r="AE382" s="54"/>
      <c r="AF382" s="54"/>
      <c r="AG382" s="54"/>
      <c r="AH382" s="54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113"/>
      <c r="BB382" s="110"/>
      <c r="BC382" s="110"/>
      <c r="BD382" s="110"/>
      <c r="BE382" s="110"/>
      <c r="BF382" s="110"/>
      <c r="BG382" s="110"/>
      <c r="BH382" s="110"/>
      <c r="BI382" s="113"/>
      <c r="BJ382" s="110"/>
      <c r="BK382" s="110"/>
      <c r="BL382" s="110"/>
      <c r="BM382" s="110"/>
      <c r="BN382" s="113"/>
      <c r="BO382" s="110"/>
      <c r="BP382" s="110"/>
      <c r="BQ382" s="110"/>
      <c r="BR382" s="110"/>
      <c r="BS382" s="110"/>
      <c r="BT382" s="110"/>
      <c r="BU382" s="110"/>
      <c r="BV382" s="110"/>
      <c r="BW382" s="110"/>
      <c r="BX382" s="113"/>
      <c r="BY382" s="110"/>
      <c r="BZ382" s="110"/>
      <c r="CA382" s="110"/>
      <c r="CB382" s="110"/>
      <c r="CC382" s="110"/>
      <c r="CD382" s="110"/>
      <c r="CE382" s="110"/>
      <c r="CF382" s="110"/>
      <c r="CG382" s="113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66"/>
      <c r="DA382" s="70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56"/>
      <c r="DR382" s="57"/>
      <c r="DS382" s="58"/>
      <c r="DT382" s="58"/>
      <c r="DU382" s="58"/>
      <c r="DV382" s="58"/>
      <c r="DW382" s="58"/>
      <c r="DX382" s="58"/>
      <c r="DY382" s="58"/>
      <c r="DZ382" s="59"/>
      <c r="EA382" s="60"/>
      <c r="EB382" s="61"/>
      <c r="EC382" s="62"/>
      <c r="ED382" s="2"/>
      <c r="EE382" s="63"/>
      <c r="EF382" s="63"/>
      <c r="EG382" s="63"/>
      <c r="EH382" s="63"/>
      <c r="EI382" s="63"/>
      <c r="EJ382" s="63"/>
      <c r="EK382" s="63"/>
      <c r="EL382" s="63"/>
      <c r="EM382" s="63"/>
      <c r="EN382" s="63"/>
      <c r="EO382" s="63"/>
      <c r="EP382" s="63"/>
      <c r="EQ382" s="63"/>
      <c r="ER382" s="63"/>
      <c r="ES382" s="63"/>
      <c r="ET382" s="63"/>
      <c r="EU382" s="80"/>
      <c r="EV382" s="64"/>
      <c r="EW382" s="64"/>
      <c r="EX382" s="64"/>
      <c r="EY382" s="64"/>
      <c r="EZ382" s="64"/>
      <c r="FA382" s="64"/>
      <c r="FB382" s="64"/>
      <c r="FC382" s="64"/>
      <c r="FD382" s="64"/>
      <c r="FE382" s="64"/>
      <c r="FF382" s="64"/>
      <c r="FG382" s="65"/>
      <c r="FH382" s="84"/>
      <c r="FI382" s="64"/>
      <c r="FJ382" s="8"/>
      <c r="FK382" s="48"/>
      <c r="FL382" s="48"/>
      <c r="FM382" s="48"/>
      <c r="FN382" s="48"/>
      <c r="FO382" s="48"/>
      <c r="FP382" s="48"/>
      <c r="FQ382" s="48"/>
      <c r="FR382" s="48"/>
      <c r="FS382" s="48"/>
      <c r="FT382" s="48"/>
      <c r="FU382" s="48"/>
      <c r="FV382" s="48"/>
      <c r="FW382" s="48"/>
      <c r="FX382" s="48"/>
      <c r="FY382" s="48"/>
      <c r="FZ382" s="48"/>
      <c r="GA382" s="48"/>
      <c r="GB382" s="48"/>
      <c r="GC382" s="48"/>
      <c r="GD382" s="48"/>
      <c r="GE382" s="48"/>
      <c r="GF382" s="48"/>
      <c r="GG382" s="48"/>
      <c r="GH382" s="48"/>
      <c r="GI382" s="48"/>
      <c r="GJ382" s="8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77"/>
      <c r="GY382" s="77"/>
      <c r="GZ382" s="77"/>
    </row>
    <row r="383" spans="1:208">
      <c r="A383" s="48"/>
      <c r="B383" s="49"/>
      <c r="C383" s="50"/>
      <c r="D383" s="51"/>
      <c r="E383" s="50"/>
      <c r="F383" s="52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90"/>
      <c r="V383" s="91"/>
      <c r="W383" s="92"/>
      <c r="X383" s="92"/>
      <c r="Y383" s="92"/>
      <c r="Z383" s="91"/>
      <c r="AA383" s="93"/>
      <c r="AB383" s="99"/>
      <c r="AC383" s="54"/>
      <c r="AD383" s="54"/>
      <c r="AE383" s="54"/>
      <c r="AF383" s="54"/>
      <c r="AG383" s="54"/>
      <c r="AH383" s="54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113"/>
      <c r="BB383" s="110"/>
      <c r="BC383" s="110"/>
      <c r="BD383" s="110"/>
      <c r="BE383" s="110"/>
      <c r="BF383" s="110"/>
      <c r="BG383" s="110"/>
      <c r="BH383" s="110"/>
      <c r="BI383" s="113"/>
      <c r="BJ383" s="110"/>
      <c r="BK383" s="110"/>
      <c r="BL383" s="110"/>
      <c r="BM383" s="110"/>
      <c r="BN383" s="113"/>
      <c r="BO383" s="110"/>
      <c r="BP383" s="110"/>
      <c r="BQ383" s="110"/>
      <c r="BR383" s="110"/>
      <c r="BS383" s="110"/>
      <c r="BT383" s="110"/>
      <c r="BU383" s="110"/>
      <c r="BV383" s="110"/>
      <c r="BW383" s="110"/>
      <c r="BX383" s="113"/>
      <c r="BY383" s="110"/>
      <c r="BZ383" s="110"/>
      <c r="CA383" s="110"/>
      <c r="CB383" s="110"/>
      <c r="CC383" s="110"/>
      <c r="CD383" s="110"/>
      <c r="CE383" s="110"/>
      <c r="CF383" s="110"/>
      <c r="CG383" s="113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66"/>
      <c r="DA383" s="70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56"/>
      <c r="DR383" s="57"/>
      <c r="DS383" s="58"/>
      <c r="DT383" s="58"/>
      <c r="DU383" s="58"/>
      <c r="DV383" s="58"/>
      <c r="DW383" s="58"/>
      <c r="DX383" s="58"/>
      <c r="DY383" s="58"/>
      <c r="DZ383" s="59"/>
      <c r="EA383" s="60"/>
      <c r="EB383" s="61"/>
      <c r="EC383" s="62"/>
      <c r="ED383" s="2"/>
      <c r="EE383" s="63"/>
      <c r="EF383" s="63"/>
      <c r="EG383" s="63"/>
      <c r="EH383" s="63"/>
      <c r="EI383" s="63"/>
      <c r="EJ383" s="63"/>
      <c r="EK383" s="63"/>
      <c r="EL383" s="63"/>
      <c r="EM383" s="63"/>
      <c r="EN383" s="63"/>
      <c r="EO383" s="63"/>
      <c r="EP383" s="63"/>
      <c r="EQ383" s="63"/>
      <c r="ER383" s="63"/>
      <c r="ES383" s="63"/>
      <c r="ET383" s="63"/>
      <c r="EU383" s="80"/>
      <c r="EV383" s="64"/>
      <c r="EW383" s="64"/>
      <c r="EX383" s="64"/>
      <c r="EY383" s="64"/>
      <c r="EZ383" s="64"/>
      <c r="FA383" s="64"/>
      <c r="FB383" s="64"/>
      <c r="FC383" s="64"/>
      <c r="FD383" s="64"/>
      <c r="FE383" s="64"/>
      <c r="FF383" s="64"/>
      <c r="FG383" s="65"/>
      <c r="FH383" s="84"/>
      <c r="FI383" s="64"/>
      <c r="FJ383" s="8"/>
      <c r="FK383" s="48"/>
      <c r="FL383" s="48"/>
      <c r="FM383" s="48"/>
      <c r="FN383" s="48"/>
      <c r="FO383" s="48"/>
      <c r="FP383" s="48"/>
      <c r="FQ383" s="48"/>
      <c r="FR383" s="48"/>
      <c r="FS383" s="48"/>
      <c r="FT383" s="48"/>
      <c r="FU383" s="48"/>
      <c r="FV383" s="48"/>
      <c r="FW383" s="48"/>
      <c r="FX383" s="48"/>
      <c r="FY383" s="48"/>
      <c r="FZ383" s="48"/>
      <c r="GA383" s="48"/>
      <c r="GB383" s="48"/>
      <c r="GC383" s="48"/>
      <c r="GD383" s="48"/>
      <c r="GE383" s="48"/>
      <c r="GF383" s="48"/>
      <c r="GG383" s="48"/>
      <c r="GH383" s="48"/>
      <c r="GI383" s="48"/>
      <c r="GJ383" s="8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77"/>
      <c r="GY383" s="77"/>
      <c r="GZ383" s="77"/>
    </row>
    <row r="384" spans="1:208">
      <c r="A384" s="48"/>
      <c r="B384" s="49"/>
      <c r="C384" s="50"/>
      <c r="D384" s="51"/>
      <c r="E384" s="50"/>
      <c r="F384" s="52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90"/>
      <c r="V384" s="91"/>
      <c r="W384" s="92"/>
      <c r="X384" s="92"/>
      <c r="Y384" s="92"/>
      <c r="Z384" s="91"/>
      <c r="AA384" s="93"/>
      <c r="AB384" s="99"/>
      <c r="AC384" s="54"/>
      <c r="AD384" s="54"/>
      <c r="AE384" s="54"/>
      <c r="AF384" s="54"/>
      <c r="AG384" s="54"/>
      <c r="AH384" s="54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113"/>
      <c r="BB384" s="110"/>
      <c r="BC384" s="110"/>
      <c r="BD384" s="110"/>
      <c r="BE384" s="110"/>
      <c r="BF384" s="110"/>
      <c r="BG384" s="110"/>
      <c r="BH384" s="110"/>
      <c r="BI384" s="113"/>
      <c r="BJ384" s="110"/>
      <c r="BK384" s="110"/>
      <c r="BL384" s="110"/>
      <c r="BM384" s="110"/>
      <c r="BN384" s="113"/>
      <c r="BO384" s="110"/>
      <c r="BP384" s="110"/>
      <c r="BQ384" s="110"/>
      <c r="BR384" s="110"/>
      <c r="BS384" s="110"/>
      <c r="BT384" s="110"/>
      <c r="BU384" s="110"/>
      <c r="BV384" s="110"/>
      <c r="BW384" s="110"/>
      <c r="BX384" s="113"/>
      <c r="BY384" s="110"/>
      <c r="BZ384" s="110"/>
      <c r="CA384" s="110"/>
      <c r="CB384" s="110"/>
      <c r="CC384" s="110"/>
      <c r="CD384" s="110"/>
      <c r="CE384" s="110"/>
      <c r="CF384" s="110"/>
      <c r="CG384" s="113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66"/>
      <c r="DA384" s="70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56"/>
      <c r="DR384" s="57"/>
      <c r="DS384" s="58"/>
      <c r="DT384" s="58"/>
      <c r="DU384" s="58"/>
      <c r="DV384" s="58"/>
      <c r="DW384" s="58"/>
      <c r="DX384" s="58"/>
      <c r="DY384" s="58"/>
      <c r="DZ384" s="59"/>
      <c r="EA384" s="60"/>
      <c r="EB384" s="61"/>
      <c r="EC384" s="62"/>
      <c r="ED384" s="2"/>
      <c r="EE384" s="63"/>
      <c r="EF384" s="63"/>
      <c r="EG384" s="63"/>
      <c r="EH384" s="63"/>
      <c r="EI384" s="63"/>
      <c r="EJ384" s="63"/>
      <c r="EK384" s="63"/>
      <c r="EL384" s="63"/>
      <c r="EM384" s="63"/>
      <c r="EN384" s="63"/>
      <c r="EO384" s="63"/>
      <c r="EP384" s="63"/>
      <c r="EQ384" s="63"/>
      <c r="ER384" s="63"/>
      <c r="ES384" s="63"/>
      <c r="ET384" s="63"/>
      <c r="EU384" s="80"/>
      <c r="EV384" s="64"/>
      <c r="EW384" s="64"/>
      <c r="EX384" s="64"/>
      <c r="EY384" s="64"/>
      <c r="EZ384" s="64"/>
      <c r="FA384" s="64"/>
      <c r="FB384" s="64"/>
      <c r="FC384" s="64"/>
      <c r="FD384" s="64"/>
      <c r="FE384" s="64"/>
      <c r="FF384" s="64"/>
      <c r="FG384" s="65"/>
      <c r="FH384" s="84"/>
      <c r="FI384" s="64"/>
      <c r="FJ384" s="8"/>
      <c r="FK384" s="48"/>
      <c r="FL384" s="48"/>
      <c r="FM384" s="48"/>
      <c r="FN384" s="48"/>
      <c r="FO384" s="48"/>
      <c r="FP384" s="48"/>
      <c r="FQ384" s="48"/>
      <c r="FR384" s="48"/>
      <c r="FS384" s="48"/>
      <c r="FT384" s="48"/>
      <c r="FU384" s="48"/>
      <c r="FV384" s="48"/>
      <c r="FW384" s="48"/>
      <c r="FX384" s="48"/>
      <c r="FY384" s="48"/>
      <c r="FZ384" s="48"/>
      <c r="GA384" s="48"/>
      <c r="GB384" s="48"/>
      <c r="GC384" s="48"/>
      <c r="GD384" s="48"/>
      <c r="GE384" s="48"/>
      <c r="GF384" s="48"/>
      <c r="GG384" s="48"/>
      <c r="GH384" s="48"/>
      <c r="GI384" s="48"/>
      <c r="GJ384" s="8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77"/>
      <c r="GY384" s="77"/>
      <c r="GZ384" s="77"/>
    </row>
    <row r="385" spans="1:208">
      <c r="A385" s="48"/>
      <c r="B385" s="49"/>
      <c r="C385" s="50"/>
      <c r="D385" s="51"/>
      <c r="E385" s="50"/>
      <c r="F385" s="52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90"/>
      <c r="V385" s="91"/>
      <c r="W385" s="92"/>
      <c r="X385" s="92"/>
      <c r="Y385" s="92"/>
      <c r="Z385" s="91"/>
      <c r="AA385" s="93"/>
      <c r="AB385" s="99"/>
      <c r="AC385" s="54"/>
      <c r="AD385" s="54"/>
      <c r="AE385" s="54"/>
      <c r="AF385" s="54"/>
      <c r="AG385" s="54"/>
      <c r="AH385" s="54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113"/>
      <c r="BB385" s="110"/>
      <c r="BC385" s="110"/>
      <c r="BD385" s="110"/>
      <c r="BE385" s="110"/>
      <c r="BF385" s="110"/>
      <c r="BG385" s="110"/>
      <c r="BH385" s="110"/>
      <c r="BI385" s="113"/>
      <c r="BJ385" s="110"/>
      <c r="BK385" s="110"/>
      <c r="BL385" s="110"/>
      <c r="BM385" s="110"/>
      <c r="BN385" s="113"/>
      <c r="BO385" s="110"/>
      <c r="BP385" s="110"/>
      <c r="BQ385" s="110"/>
      <c r="BR385" s="110"/>
      <c r="BS385" s="110"/>
      <c r="BT385" s="110"/>
      <c r="BU385" s="110"/>
      <c r="BV385" s="110"/>
      <c r="BW385" s="110"/>
      <c r="BX385" s="113"/>
      <c r="BY385" s="110"/>
      <c r="BZ385" s="110"/>
      <c r="CA385" s="110"/>
      <c r="CB385" s="110"/>
      <c r="CC385" s="110"/>
      <c r="CD385" s="110"/>
      <c r="CE385" s="110"/>
      <c r="CF385" s="110"/>
      <c r="CG385" s="113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66"/>
      <c r="DA385" s="70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56"/>
      <c r="DR385" s="57"/>
      <c r="DS385" s="58"/>
      <c r="DT385" s="58"/>
      <c r="DU385" s="58"/>
      <c r="DV385" s="58"/>
      <c r="DW385" s="58"/>
      <c r="DX385" s="58"/>
      <c r="DY385" s="58"/>
      <c r="DZ385" s="59"/>
      <c r="EA385" s="60"/>
      <c r="EB385" s="61"/>
      <c r="EC385" s="62"/>
      <c r="ED385" s="2"/>
      <c r="EE385" s="63"/>
      <c r="EF385" s="63"/>
      <c r="EG385" s="63"/>
      <c r="EH385" s="63"/>
      <c r="EI385" s="63"/>
      <c r="EJ385" s="63"/>
      <c r="EK385" s="63"/>
      <c r="EL385" s="63"/>
      <c r="EM385" s="63"/>
      <c r="EN385" s="63"/>
      <c r="EO385" s="63"/>
      <c r="EP385" s="63"/>
      <c r="EQ385" s="63"/>
      <c r="ER385" s="63"/>
      <c r="ES385" s="63"/>
      <c r="ET385" s="63"/>
      <c r="EU385" s="80"/>
      <c r="EV385" s="64"/>
      <c r="EW385" s="64"/>
      <c r="EX385" s="64"/>
      <c r="EY385" s="64"/>
      <c r="EZ385" s="64"/>
      <c r="FA385" s="64"/>
      <c r="FB385" s="64"/>
      <c r="FC385" s="64"/>
      <c r="FD385" s="64"/>
      <c r="FE385" s="64"/>
      <c r="FF385" s="64"/>
      <c r="FG385" s="65"/>
      <c r="FH385" s="84"/>
      <c r="FI385" s="64"/>
      <c r="FJ385" s="8"/>
      <c r="FK385" s="48"/>
      <c r="FL385" s="48"/>
      <c r="FM385" s="48"/>
      <c r="FN385" s="48"/>
      <c r="FO385" s="48"/>
      <c r="FP385" s="48"/>
      <c r="FQ385" s="48"/>
      <c r="FR385" s="48"/>
      <c r="FS385" s="48"/>
      <c r="FT385" s="48"/>
      <c r="FU385" s="48"/>
      <c r="FV385" s="48"/>
      <c r="FW385" s="48"/>
      <c r="FX385" s="48"/>
      <c r="FY385" s="48"/>
      <c r="FZ385" s="48"/>
      <c r="GA385" s="48"/>
      <c r="GB385" s="48"/>
      <c r="GC385" s="48"/>
      <c r="GD385" s="48"/>
      <c r="GE385" s="48"/>
      <c r="GF385" s="48"/>
      <c r="GG385" s="48"/>
      <c r="GH385" s="48"/>
      <c r="GI385" s="48"/>
      <c r="GJ385" s="8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77"/>
      <c r="GY385" s="77"/>
      <c r="GZ385" s="77"/>
    </row>
    <row r="386" spans="1:208">
      <c r="A386" s="48"/>
      <c r="B386" s="49"/>
      <c r="C386" s="50"/>
      <c r="D386" s="51"/>
      <c r="E386" s="50"/>
      <c r="F386" s="52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90"/>
      <c r="V386" s="91"/>
      <c r="W386" s="92"/>
      <c r="X386" s="92"/>
      <c r="Y386" s="92"/>
      <c r="Z386" s="91"/>
      <c r="AA386" s="93"/>
      <c r="AB386" s="99"/>
      <c r="AC386" s="54"/>
      <c r="AD386" s="54"/>
      <c r="AE386" s="54"/>
      <c r="AF386" s="54"/>
      <c r="AG386" s="54"/>
      <c r="AH386" s="54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113"/>
      <c r="BB386" s="110"/>
      <c r="BC386" s="110"/>
      <c r="BD386" s="110"/>
      <c r="BE386" s="110"/>
      <c r="BF386" s="110"/>
      <c r="BG386" s="110"/>
      <c r="BH386" s="110"/>
      <c r="BI386" s="113"/>
      <c r="BJ386" s="110"/>
      <c r="BK386" s="110"/>
      <c r="BL386" s="110"/>
      <c r="BM386" s="110"/>
      <c r="BN386" s="113"/>
      <c r="BO386" s="110"/>
      <c r="BP386" s="110"/>
      <c r="BQ386" s="110"/>
      <c r="BR386" s="110"/>
      <c r="BS386" s="110"/>
      <c r="BT386" s="110"/>
      <c r="BU386" s="110"/>
      <c r="BV386" s="110"/>
      <c r="BW386" s="110"/>
      <c r="BX386" s="113"/>
      <c r="BY386" s="110"/>
      <c r="BZ386" s="110"/>
      <c r="CA386" s="110"/>
      <c r="CB386" s="110"/>
      <c r="CC386" s="110"/>
      <c r="CD386" s="110"/>
      <c r="CE386" s="110"/>
      <c r="CF386" s="110"/>
      <c r="CG386" s="113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66"/>
      <c r="DA386" s="70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56"/>
      <c r="DR386" s="57"/>
      <c r="DS386" s="58"/>
      <c r="DT386" s="58"/>
      <c r="DU386" s="58"/>
      <c r="DV386" s="58"/>
      <c r="DW386" s="58"/>
      <c r="DX386" s="58"/>
      <c r="DY386" s="58"/>
      <c r="DZ386" s="59"/>
      <c r="EA386" s="60"/>
      <c r="EB386" s="61"/>
      <c r="EC386" s="62"/>
      <c r="ED386" s="2"/>
      <c r="EE386" s="63"/>
      <c r="EF386" s="63"/>
      <c r="EG386" s="63"/>
      <c r="EH386" s="63"/>
      <c r="EI386" s="63"/>
      <c r="EJ386" s="63"/>
      <c r="EK386" s="63"/>
      <c r="EL386" s="63"/>
      <c r="EM386" s="63"/>
      <c r="EN386" s="63"/>
      <c r="EO386" s="63"/>
      <c r="EP386" s="63"/>
      <c r="EQ386" s="63"/>
      <c r="ER386" s="63"/>
      <c r="ES386" s="63"/>
      <c r="ET386" s="63"/>
      <c r="EU386" s="80"/>
      <c r="EV386" s="64"/>
      <c r="EW386" s="64"/>
      <c r="EX386" s="64"/>
      <c r="EY386" s="64"/>
      <c r="EZ386" s="64"/>
      <c r="FA386" s="64"/>
      <c r="FB386" s="64"/>
      <c r="FC386" s="64"/>
      <c r="FD386" s="64"/>
      <c r="FE386" s="64"/>
      <c r="FF386" s="64"/>
      <c r="FG386" s="65"/>
      <c r="FH386" s="84"/>
      <c r="FI386" s="64"/>
      <c r="FJ386" s="8"/>
      <c r="FK386" s="48"/>
      <c r="FL386" s="48"/>
      <c r="FM386" s="48"/>
      <c r="FN386" s="48"/>
      <c r="FO386" s="48"/>
      <c r="FP386" s="48"/>
      <c r="FQ386" s="48"/>
      <c r="FR386" s="48"/>
      <c r="FS386" s="48"/>
      <c r="FT386" s="48"/>
      <c r="FU386" s="48"/>
      <c r="FV386" s="48"/>
      <c r="FW386" s="48"/>
      <c r="FX386" s="48"/>
      <c r="FY386" s="48"/>
      <c r="FZ386" s="48"/>
      <c r="GA386" s="48"/>
      <c r="GB386" s="48"/>
      <c r="GC386" s="48"/>
      <c r="GD386" s="48"/>
      <c r="GE386" s="48"/>
      <c r="GF386" s="48"/>
      <c r="GG386" s="48"/>
      <c r="GH386" s="48"/>
      <c r="GI386" s="48"/>
      <c r="GJ386" s="8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77"/>
      <c r="GY386" s="77"/>
      <c r="GZ386" s="77"/>
    </row>
    <row r="387" spans="1:208">
      <c r="A387" s="48"/>
      <c r="B387" s="49"/>
      <c r="C387" s="50"/>
      <c r="D387" s="51"/>
      <c r="E387" s="50"/>
      <c r="F387" s="52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90"/>
      <c r="V387" s="91"/>
      <c r="W387" s="92"/>
      <c r="X387" s="92"/>
      <c r="Y387" s="92"/>
      <c r="Z387" s="91"/>
      <c r="AA387" s="93"/>
      <c r="AB387" s="99"/>
      <c r="AC387" s="54"/>
      <c r="AD387" s="54"/>
      <c r="AE387" s="54"/>
      <c r="AF387" s="54"/>
      <c r="AG387" s="54"/>
      <c r="AH387" s="54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113"/>
      <c r="BB387" s="110"/>
      <c r="BC387" s="110"/>
      <c r="BD387" s="110"/>
      <c r="BE387" s="110"/>
      <c r="BF387" s="110"/>
      <c r="BG387" s="110"/>
      <c r="BH387" s="110"/>
      <c r="BI387" s="113"/>
      <c r="BJ387" s="110"/>
      <c r="BK387" s="110"/>
      <c r="BL387" s="110"/>
      <c r="BM387" s="110"/>
      <c r="BN387" s="113"/>
      <c r="BO387" s="110"/>
      <c r="BP387" s="110"/>
      <c r="BQ387" s="110"/>
      <c r="BR387" s="110"/>
      <c r="BS387" s="110"/>
      <c r="BT387" s="110"/>
      <c r="BU387" s="110"/>
      <c r="BV387" s="110"/>
      <c r="BW387" s="110"/>
      <c r="BX387" s="113"/>
      <c r="BY387" s="110"/>
      <c r="BZ387" s="110"/>
      <c r="CA387" s="110"/>
      <c r="CB387" s="110"/>
      <c r="CC387" s="110"/>
      <c r="CD387" s="110"/>
      <c r="CE387" s="110"/>
      <c r="CF387" s="110"/>
      <c r="CG387" s="113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66"/>
      <c r="DA387" s="70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56"/>
      <c r="DR387" s="57"/>
      <c r="DS387" s="58"/>
      <c r="DT387" s="58"/>
      <c r="DU387" s="58"/>
      <c r="DV387" s="58"/>
      <c r="DW387" s="58"/>
      <c r="DX387" s="58"/>
      <c r="DY387" s="58"/>
      <c r="DZ387" s="59"/>
      <c r="EA387" s="60"/>
      <c r="EB387" s="61"/>
      <c r="EC387" s="62"/>
      <c r="ED387" s="2"/>
      <c r="EE387" s="63"/>
      <c r="EF387" s="63"/>
      <c r="EG387" s="63"/>
      <c r="EH387" s="63"/>
      <c r="EI387" s="63"/>
      <c r="EJ387" s="63"/>
      <c r="EK387" s="63"/>
      <c r="EL387" s="63"/>
      <c r="EM387" s="63"/>
      <c r="EN387" s="63"/>
      <c r="EO387" s="63"/>
      <c r="EP387" s="63"/>
      <c r="EQ387" s="63"/>
      <c r="ER387" s="63"/>
      <c r="ES387" s="63"/>
      <c r="ET387" s="63"/>
      <c r="EU387" s="80"/>
      <c r="EV387" s="64"/>
      <c r="EW387" s="64"/>
      <c r="EX387" s="64"/>
      <c r="EY387" s="64"/>
      <c r="EZ387" s="64"/>
      <c r="FA387" s="64"/>
      <c r="FB387" s="64"/>
      <c r="FC387" s="64"/>
      <c r="FD387" s="64"/>
      <c r="FE387" s="64"/>
      <c r="FF387" s="64"/>
      <c r="FG387" s="65"/>
      <c r="FH387" s="84"/>
      <c r="FI387" s="64"/>
      <c r="FJ387" s="8"/>
      <c r="FK387" s="48"/>
      <c r="FL387" s="48"/>
      <c r="FM387" s="48"/>
      <c r="FN387" s="48"/>
      <c r="FO387" s="48"/>
      <c r="FP387" s="48"/>
      <c r="FQ387" s="48"/>
      <c r="FR387" s="48"/>
      <c r="FS387" s="48"/>
      <c r="FT387" s="48"/>
      <c r="FU387" s="48"/>
      <c r="FV387" s="48"/>
      <c r="FW387" s="48"/>
      <c r="FX387" s="48"/>
      <c r="FY387" s="48"/>
      <c r="FZ387" s="48"/>
      <c r="GA387" s="48"/>
      <c r="GB387" s="48"/>
      <c r="GC387" s="48"/>
      <c r="GD387" s="48"/>
      <c r="GE387" s="48"/>
      <c r="GF387" s="48"/>
      <c r="GG387" s="48"/>
      <c r="GH387" s="48"/>
      <c r="GI387" s="48"/>
      <c r="GJ387" s="8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77"/>
      <c r="GY387" s="77"/>
      <c r="GZ387" s="77"/>
    </row>
    <row r="388" spans="1:208">
      <c r="A388" s="48"/>
      <c r="B388" s="49"/>
      <c r="C388" s="50"/>
      <c r="D388" s="51"/>
      <c r="E388" s="50"/>
      <c r="F388" s="52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90"/>
      <c r="V388" s="91"/>
      <c r="W388" s="92"/>
      <c r="X388" s="92"/>
      <c r="Y388" s="92"/>
      <c r="Z388" s="91"/>
      <c r="AA388" s="93"/>
      <c r="AB388" s="99"/>
      <c r="AC388" s="54"/>
      <c r="AD388" s="54"/>
      <c r="AE388" s="54"/>
      <c r="AF388" s="54"/>
      <c r="AG388" s="54"/>
      <c r="AH388" s="54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113"/>
      <c r="BB388" s="110"/>
      <c r="BC388" s="110"/>
      <c r="BD388" s="110"/>
      <c r="BE388" s="110"/>
      <c r="BF388" s="110"/>
      <c r="BG388" s="110"/>
      <c r="BH388" s="110"/>
      <c r="BI388" s="113"/>
      <c r="BJ388" s="110"/>
      <c r="BK388" s="110"/>
      <c r="BL388" s="110"/>
      <c r="BM388" s="110"/>
      <c r="BN388" s="113"/>
      <c r="BO388" s="110"/>
      <c r="BP388" s="110"/>
      <c r="BQ388" s="110"/>
      <c r="BR388" s="110"/>
      <c r="BS388" s="110"/>
      <c r="BT388" s="110"/>
      <c r="BU388" s="110"/>
      <c r="BV388" s="110"/>
      <c r="BW388" s="110"/>
      <c r="BX388" s="113"/>
      <c r="BY388" s="110"/>
      <c r="BZ388" s="110"/>
      <c r="CA388" s="110"/>
      <c r="CB388" s="110"/>
      <c r="CC388" s="110"/>
      <c r="CD388" s="110"/>
      <c r="CE388" s="110"/>
      <c r="CF388" s="110"/>
      <c r="CG388" s="113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66"/>
      <c r="DA388" s="70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56"/>
      <c r="DR388" s="57"/>
      <c r="DS388" s="58"/>
      <c r="DT388" s="58"/>
      <c r="DU388" s="58"/>
      <c r="DV388" s="58"/>
      <c r="DW388" s="58"/>
      <c r="DX388" s="58"/>
      <c r="DY388" s="58"/>
      <c r="DZ388" s="59"/>
      <c r="EA388" s="60"/>
      <c r="EB388" s="61"/>
      <c r="EC388" s="62"/>
      <c r="ED388" s="2"/>
      <c r="EE388" s="63"/>
      <c r="EF388" s="63"/>
      <c r="EG388" s="63"/>
      <c r="EH388" s="63"/>
      <c r="EI388" s="63"/>
      <c r="EJ388" s="63"/>
      <c r="EK388" s="63"/>
      <c r="EL388" s="63"/>
      <c r="EM388" s="63"/>
      <c r="EN388" s="63"/>
      <c r="EO388" s="63"/>
      <c r="EP388" s="63"/>
      <c r="EQ388" s="63"/>
      <c r="ER388" s="63"/>
      <c r="ES388" s="63"/>
      <c r="ET388" s="63"/>
      <c r="EU388" s="80"/>
      <c r="EV388" s="64"/>
      <c r="EW388" s="64"/>
      <c r="EX388" s="64"/>
      <c r="EY388" s="64"/>
      <c r="EZ388" s="64"/>
      <c r="FA388" s="64"/>
      <c r="FB388" s="64"/>
      <c r="FC388" s="64"/>
      <c r="FD388" s="64"/>
      <c r="FE388" s="64"/>
      <c r="FF388" s="64"/>
      <c r="FG388" s="65"/>
      <c r="FH388" s="84"/>
      <c r="FI388" s="64"/>
      <c r="FJ388" s="8"/>
      <c r="FK388" s="48"/>
      <c r="FL388" s="48"/>
      <c r="FM388" s="48"/>
      <c r="FN388" s="48"/>
      <c r="FO388" s="48"/>
      <c r="FP388" s="48"/>
      <c r="FQ388" s="48"/>
      <c r="FR388" s="48"/>
      <c r="FS388" s="48"/>
      <c r="FT388" s="48"/>
      <c r="FU388" s="48"/>
      <c r="FV388" s="48"/>
      <c r="FW388" s="48"/>
      <c r="FX388" s="48"/>
      <c r="FY388" s="48"/>
      <c r="FZ388" s="48"/>
      <c r="GA388" s="48"/>
      <c r="GB388" s="48"/>
      <c r="GC388" s="48"/>
      <c r="GD388" s="48"/>
      <c r="GE388" s="48"/>
      <c r="GF388" s="48"/>
      <c r="GG388" s="48"/>
      <c r="GH388" s="48"/>
      <c r="GI388" s="48"/>
      <c r="GJ388" s="8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77"/>
      <c r="GY388" s="77"/>
      <c r="GZ388" s="77"/>
    </row>
    <row r="389" spans="1:208">
      <c r="A389" s="48"/>
      <c r="B389" s="49"/>
      <c r="C389" s="50"/>
      <c r="D389" s="51"/>
      <c r="E389" s="50"/>
      <c r="F389" s="52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90"/>
      <c r="V389" s="91"/>
      <c r="W389" s="92"/>
      <c r="X389" s="92"/>
      <c r="Y389" s="92"/>
      <c r="Z389" s="91"/>
      <c r="AA389" s="93"/>
      <c r="AB389" s="99"/>
      <c r="AC389" s="54"/>
      <c r="AD389" s="54"/>
      <c r="AE389" s="54"/>
      <c r="AF389" s="54"/>
      <c r="AG389" s="54"/>
      <c r="AH389" s="54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113"/>
      <c r="BB389" s="110"/>
      <c r="BC389" s="110"/>
      <c r="BD389" s="110"/>
      <c r="BE389" s="110"/>
      <c r="BF389" s="110"/>
      <c r="BG389" s="110"/>
      <c r="BH389" s="110"/>
      <c r="BI389" s="113"/>
      <c r="BJ389" s="110"/>
      <c r="BK389" s="110"/>
      <c r="BL389" s="110"/>
      <c r="BM389" s="110"/>
      <c r="BN389" s="113"/>
      <c r="BO389" s="110"/>
      <c r="BP389" s="110"/>
      <c r="BQ389" s="110"/>
      <c r="BR389" s="110"/>
      <c r="BS389" s="110"/>
      <c r="BT389" s="110"/>
      <c r="BU389" s="110"/>
      <c r="BV389" s="110"/>
      <c r="BW389" s="110"/>
      <c r="BX389" s="113"/>
      <c r="BY389" s="110"/>
      <c r="BZ389" s="110"/>
      <c r="CA389" s="110"/>
      <c r="CB389" s="110"/>
      <c r="CC389" s="110"/>
      <c r="CD389" s="110"/>
      <c r="CE389" s="110"/>
      <c r="CF389" s="110"/>
      <c r="CG389" s="113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66"/>
      <c r="DA389" s="70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56"/>
      <c r="DR389" s="57"/>
      <c r="DS389" s="58"/>
      <c r="DT389" s="58"/>
      <c r="DU389" s="58"/>
      <c r="DV389" s="58"/>
      <c r="DW389" s="58"/>
      <c r="DX389" s="58"/>
      <c r="DY389" s="58"/>
      <c r="DZ389" s="59"/>
      <c r="EA389" s="60"/>
      <c r="EB389" s="61"/>
      <c r="EC389" s="62"/>
      <c r="ED389" s="2"/>
      <c r="EE389" s="63"/>
      <c r="EF389" s="63"/>
      <c r="EG389" s="63"/>
      <c r="EH389" s="63"/>
      <c r="EI389" s="63"/>
      <c r="EJ389" s="63"/>
      <c r="EK389" s="63"/>
      <c r="EL389" s="63"/>
      <c r="EM389" s="63"/>
      <c r="EN389" s="63"/>
      <c r="EO389" s="63"/>
      <c r="EP389" s="63"/>
      <c r="EQ389" s="63"/>
      <c r="ER389" s="63"/>
      <c r="ES389" s="63"/>
      <c r="ET389" s="63"/>
      <c r="EU389" s="80"/>
      <c r="EV389" s="64"/>
      <c r="EW389" s="64"/>
      <c r="EX389" s="64"/>
      <c r="EY389" s="64"/>
      <c r="EZ389" s="64"/>
      <c r="FA389" s="64"/>
      <c r="FB389" s="64"/>
      <c r="FC389" s="64"/>
      <c r="FD389" s="64"/>
      <c r="FE389" s="64"/>
      <c r="FF389" s="64"/>
      <c r="FG389" s="65"/>
      <c r="FH389" s="84"/>
      <c r="FI389" s="64"/>
      <c r="FJ389" s="8"/>
      <c r="FK389" s="48"/>
      <c r="FL389" s="48"/>
      <c r="FM389" s="48"/>
      <c r="FN389" s="48"/>
      <c r="FO389" s="48"/>
      <c r="FP389" s="48"/>
      <c r="FQ389" s="48"/>
      <c r="FR389" s="48"/>
      <c r="FS389" s="48"/>
      <c r="FT389" s="48"/>
      <c r="FU389" s="48"/>
      <c r="FV389" s="48"/>
      <c r="FW389" s="48"/>
      <c r="FX389" s="48"/>
      <c r="FY389" s="48"/>
      <c r="FZ389" s="48"/>
      <c r="GA389" s="48"/>
      <c r="GB389" s="48"/>
      <c r="GC389" s="48"/>
      <c r="GD389" s="48"/>
      <c r="GE389" s="48"/>
      <c r="GF389" s="48"/>
      <c r="GG389" s="48"/>
      <c r="GH389" s="48"/>
      <c r="GI389" s="48"/>
      <c r="GJ389" s="8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77"/>
      <c r="GY389" s="77"/>
      <c r="GZ389" s="77"/>
    </row>
    <row r="390" spans="1:208">
      <c r="A390" s="48"/>
      <c r="B390" s="49"/>
      <c r="C390" s="50"/>
      <c r="D390" s="51"/>
      <c r="E390" s="50"/>
      <c r="F390" s="52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90"/>
      <c r="V390" s="91"/>
      <c r="W390" s="92"/>
      <c r="X390" s="92"/>
      <c r="Y390" s="92"/>
      <c r="Z390" s="91"/>
      <c r="AA390" s="93"/>
      <c r="AB390" s="99"/>
      <c r="AC390" s="54"/>
      <c r="AD390" s="54"/>
      <c r="AE390" s="54"/>
      <c r="AF390" s="54"/>
      <c r="AG390" s="54"/>
      <c r="AH390" s="54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113"/>
      <c r="BB390" s="110"/>
      <c r="BC390" s="110"/>
      <c r="BD390" s="110"/>
      <c r="BE390" s="110"/>
      <c r="BF390" s="110"/>
      <c r="BG390" s="110"/>
      <c r="BH390" s="110"/>
      <c r="BI390" s="113"/>
      <c r="BJ390" s="110"/>
      <c r="BK390" s="110"/>
      <c r="BL390" s="110"/>
      <c r="BM390" s="110"/>
      <c r="BN390" s="113"/>
      <c r="BO390" s="110"/>
      <c r="BP390" s="110"/>
      <c r="BQ390" s="110"/>
      <c r="BR390" s="110"/>
      <c r="BS390" s="110"/>
      <c r="BT390" s="110"/>
      <c r="BU390" s="110"/>
      <c r="BV390" s="110"/>
      <c r="BW390" s="110"/>
      <c r="BX390" s="113"/>
      <c r="BY390" s="110"/>
      <c r="BZ390" s="110"/>
      <c r="CA390" s="110"/>
      <c r="CB390" s="110"/>
      <c r="CC390" s="110"/>
      <c r="CD390" s="110"/>
      <c r="CE390" s="110"/>
      <c r="CF390" s="110"/>
      <c r="CG390" s="113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66"/>
      <c r="DA390" s="70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56"/>
      <c r="DR390" s="57"/>
      <c r="DS390" s="58"/>
      <c r="DT390" s="58"/>
      <c r="DU390" s="58"/>
      <c r="DV390" s="58"/>
      <c r="DW390" s="58"/>
      <c r="DX390" s="58"/>
      <c r="DY390" s="58"/>
      <c r="DZ390" s="59"/>
      <c r="EA390" s="60"/>
      <c r="EB390" s="61"/>
      <c r="EC390" s="62"/>
      <c r="ED390" s="2"/>
      <c r="EE390" s="63"/>
      <c r="EF390" s="63"/>
      <c r="EG390" s="63"/>
      <c r="EH390" s="63"/>
      <c r="EI390" s="63"/>
      <c r="EJ390" s="63"/>
      <c r="EK390" s="63"/>
      <c r="EL390" s="63"/>
      <c r="EM390" s="63"/>
      <c r="EN390" s="63"/>
      <c r="EO390" s="63"/>
      <c r="EP390" s="63"/>
      <c r="EQ390" s="63"/>
      <c r="ER390" s="63"/>
      <c r="ES390" s="63"/>
      <c r="ET390" s="63"/>
      <c r="EU390" s="80"/>
      <c r="EV390" s="64"/>
      <c r="EW390" s="64"/>
      <c r="EX390" s="64"/>
      <c r="EY390" s="64"/>
      <c r="EZ390" s="64"/>
      <c r="FA390" s="64"/>
      <c r="FB390" s="64"/>
      <c r="FC390" s="64"/>
      <c r="FD390" s="64"/>
      <c r="FE390" s="64"/>
      <c r="FF390" s="64"/>
      <c r="FG390" s="65"/>
      <c r="FH390" s="84"/>
      <c r="FI390" s="64"/>
      <c r="FJ390" s="8"/>
      <c r="FK390" s="48"/>
      <c r="FL390" s="48"/>
      <c r="FM390" s="48"/>
      <c r="FN390" s="48"/>
      <c r="FO390" s="48"/>
      <c r="FP390" s="48"/>
      <c r="FQ390" s="48"/>
      <c r="FR390" s="48"/>
      <c r="FS390" s="48"/>
      <c r="FT390" s="48"/>
      <c r="FU390" s="48"/>
      <c r="FV390" s="48"/>
      <c r="FW390" s="48"/>
      <c r="FX390" s="48"/>
      <c r="FY390" s="48"/>
      <c r="FZ390" s="48"/>
      <c r="GA390" s="48"/>
      <c r="GB390" s="48"/>
      <c r="GC390" s="48"/>
      <c r="GD390" s="48"/>
      <c r="GE390" s="48"/>
      <c r="GF390" s="48"/>
      <c r="GG390" s="48"/>
      <c r="GH390" s="48"/>
      <c r="GI390" s="48"/>
      <c r="GJ390" s="8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77"/>
      <c r="GY390" s="77"/>
      <c r="GZ390" s="77"/>
    </row>
    <row r="391" spans="1:208">
      <c r="A391" s="48"/>
      <c r="B391" s="49"/>
      <c r="C391" s="50"/>
      <c r="D391" s="51"/>
      <c r="E391" s="50"/>
      <c r="F391" s="52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90"/>
      <c r="V391" s="91"/>
      <c r="W391" s="92"/>
      <c r="X391" s="92"/>
      <c r="Y391" s="92"/>
      <c r="Z391" s="91"/>
      <c r="AA391" s="93"/>
      <c r="AB391" s="99"/>
      <c r="AC391" s="54"/>
      <c r="AD391" s="54"/>
      <c r="AE391" s="54"/>
      <c r="AF391" s="54"/>
      <c r="AG391" s="54"/>
      <c r="AH391" s="54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113"/>
      <c r="BB391" s="110"/>
      <c r="BC391" s="110"/>
      <c r="BD391" s="110"/>
      <c r="BE391" s="110"/>
      <c r="BF391" s="110"/>
      <c r="BG391" s="110"/>
      <c r="BH391" s="110"/>
      <c r="BI391" s="113"/>
      <c r="BJ391" s="110"/>
      <c r="BK391" s="110"/>
      <c r="BL391" s="110"/>
      <c r="BM391" s="110"/>
      <c r="BN391" s="113"/>
      <c r="BO391" s="110"/>
      <c r="BP391" s="110"/>
      <c r="BQ391" s="110"/>
      <c r="BR391" s="110"/>
      <c r="BS391" s="110"/>
      <c r="BT391" s="110"/>
      <c r="BU391" s="110"/>
      <c r="BV391" s="110"/>
      <c r="BW391" s="110"/>
      <c r="BX391" s="113"/>
      <c r="BY391" s="110"/>
      <c r="BZ391" s="110"/>
      <c r="CA391" s="110"/>
      <c r="CB391" s="110"/>
      <c r="CC391" s="110"/>
      <c r="CD391" s="110"/>
      <c r="CE391" s="110"/>
      <c r="CF391" s="110"/>
      <c r="CG391" s="113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66"/>
      <c r="DA391" s="70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56"/>
      <c r="DR391" s="57"/>
      <c r="DS391" s="58"/>
      <c r="DT391" s="58"/>
      <c r="DU391" s="58"/>
      <c r="DV391" s="58"/>
      <c r="DW391" s="58"/>
      <c r="DX391" s="58"/>
      <c r="DY391" s="58"/>
      <c r="DZ391" s="59"/>
      <c r="EA391" s="60"/>
      <c r="EB391" s="61"/>
      <c r="EC391" s="62"/>
      <c r="ED391" s="2"/>
      <c r="EE391" s="63"/>
      <c r="EF391" s="63"/>
      <c r="EG391" s="63"/>
      <c r="EH391" s="63"/>
      <c r="EI391" s="63"/>
      <c r="EJ391" s="63"/>
      <c r="EK391" s="63"/>
      <c r="EL391" s="63"/>
      <c r="EM391" s="63"/>
      <c r="EN391" s="63"/>
      <c r="EO391" s="63"/>
      <c r="EP391" s="63"/>
      <c r="EQ391" s="63"/>
      <c r="ER391" s="63"/>
      <c r="ES391" s="63"/>
      <c r="ET391" s="63"/>
      <c r="EU391" s="80"/>
      <c r="EV391" s="64"/>
      <c r="EW391" s="64"/>
      <c r="EX391" s="64"/>
      <c r="EY391" s="64"/>
      <c r="EZ391" s="64"/>
      <c r="FA391" s="64"/>
      <c r="FB391" s="64"/>
      <c r="FC391" s="64"/>
      <c r="FD391" s="64"/>
      <c r="FE391" s="64"/>
      <c r="FF391" s="64"/>
      <c r="FG391" s="65"/>
      <c r="FH391" s="84"/>
      <c r="FI391" s="64"/>
      <c r="FJ391" s="8"/>
      <c r="FK391" s="48"/>
      <c r="FL391" s="48"/>
      <c r="FM391" s="48"/>
      <c r="FN391" s="48"/>
      <c r="FO391" s="48"/>
      <c r="FP391" s="48"/>
      <c r="FQ391" s="48"/>
      <c r="FR391" s="48"/>
      <c r="FS391" s="48"/>
      <c r="FT391" s="48"/>
      <c r="FU391" s="48"/>
      <c r="FV391" s="48"/>
      <c r="FW391" s="48"/>
      <c r="FX391" s="48"/>
      <c r="FY391" s="48"/>
      <c r="FZ391" s="48"/>
      <c r="GA391" s="48"/>
      <c r="GB391" s="48"/>
      <c r="GC391" s="48"/>
      <c r="GD391" s="48"/>
      <c r="GE391" s="48"/>
      <c r="GF391" s="48"/>
      <c r="GG391" s="48"/>
      <c r="GH391" s="48"/>
      <c r="GI391" s="48"/>
      <c r="GJ391" s="8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77"/>
      <c r="GY391" s="77"/>
      <c r="GZ391" s="77"/>
    </row>
    <row r="392" spans="1:208">
      <c r="A392" s="48"/>
      <c r="B392" s="49"/>
      <c r="C392" s="50"/>
      <c r="D392" s="51"/>
      <c r="E392" s="50"/>
      <c r="F392" s="52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90"/>
      <c r="V392" s="91"/>
      <c r="W392" s="92"/>
      <c r="X392" s="92"/>
      <c r="Y392" s="92"/>
      <c r="Z392" s="91"/>
      <c r="AA392" s="93"/>
      <c r="AB392" s="99"/>
      <c r="AC392" s="54"/>
      <c r="AD392" s="54"/>
      <c r="AE392" s="54"/>
      <c r="AF392" s="54"/>
      <c r="AG392" s="54"/>
      <c r="AH392" s="54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113"/>
      <c r="BB392" s="110"/>
      <c r="BC392" s="110"/>
      <c r="BD392" s="110"/>
      <c r="BE392" s="110"/>
      <c r="BF392" s="110"/>
      <c r="BG392" s="110"/>
      <c r="BH392" s="110"/>
      <c r="BI392" s="113"/>
      <c r="BJ392" s="110"/>
      <c r="BK392" s="110"/>
      <c r="BL392" s="110"/>
      <c r="BM392" s="110"/>
      <c r="BN392" s="113"/>
      <c r="BO392" s="110"/>
      <c r="BP392" s="110"/>
      <c r="BQ392" s="110"/>
      <c r="BR392" s="110"/>
      <c r="BS392" s="110"/>
      <c r="BT392" s="110"/>
      <c r="BU392" s="110"/>
      <c r="BV392" s="110"/>
      <c r="BW392" s="110"/>
      <c r="BX392" s="113"/>
      <c r="BY392" s="110"/>
      <c r="BZ392" s="110"/>
      <c r="CA392" s="110"/>
      <c r="CB392" s="110"/>
      <c r="CC392" s="110"/>
      <c r="CD392" s="110"/>
      <c r="CE392" s="110"/>
      <c r="CF392" s="110"/>
      <c r="CG392" s="113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66"/>
      <c r="DA392" s="70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56"/>
      <c r="DR392" s="57"/>
      <c r="DS392" s="58"/>
      <c r="DT392" s="58"/>
      <c r="DU392" s="58"/>
      <c r="DV392" s="58"/>
      <c r="DW392" s="58"/>
      <c r="DX392" s="58"/>
      <c r="DY392" s="58"/>
      <c r="DZ392" s="59"/>
      <c r="EA392" s="60"/>
      <c r="EB392" s="61"/>
      <c r="EC392" s="62"/>
      <c r="ED392" s="2"/>
      <c r="EE392" s="63"/>
      <c r="EF392" s="63"/>
      <c r="EG392" s="63"/>
      <c r="EH392" s="63"/>
      <c r="EI392" s="63"/>
      <c r="EJ392" s="63"/>
      <c r="EK392" s="63"/>
      <c r="EL392" s="63"/>
      <c r="EM392" s="63"/>
      <c r="EN392" s="63"/>
      <c r="EO392" s="63"/>
      <c r="EP392" s="63"/>
      <c r="EQ392" s="63"/>
      <c r="ER392" s="63"/>
      <c r="ES392" s="63"/>
      <c r="ET392" s="63"/>
      <c r="EU392" s="80"/>
      <c r="EV392" s="64"/>
      <c r="EW392" s="64"/>
      <c r="EX392" s="64"/>
      <c r="EY392" s="64"/>
      <c r="EZ392" s="64"/>
      <c r="FA392" s="64"/>
      <c r="FB392" s="64"/>
      <c r="FC392" s="64"/>
      <c r="FD392" s="64"/>
      <c r="FE392" s="64"/>
      <c r="FF392" s="64"/>
      <c r="FG392" s="65"/>
      <c r="FH392" s="84"/>
      <c r="FI392" s="64"/>
      <c r="FJ392" s="8"/>
      <c r="FK392" s="48"/>
      <c r="FL392" s="48"/>
      <c r="FM392" s="48"/>
      <c r="FN392" s="48"/>
      <c r="FO392" s="48"/>
      <c r="FP392" s="48"/>
      <c r="FQ392" s="48"/>
      <c r="FR392" s="48"/>
      <c r="FS392" s="48"/>
      <c r="FT392" s="48"/>
      <c r="FU392" s="48"/>
      <c r="FV392" s="48"/>
      <c r="FW392" s="48"/>
      <c r="FX392" s="48"/>
      <c r="FY392" s="48"/>
      <c r="FZ392" s="48"/>
      <c r="GA392" s="48"/>
      <c r="GB392" s="48"/>
      <c r="GC392" s="48"/>
      <c r="GD392" s="48"/>
      <c r="GE392" s="48"/>
      <c r="GF392" s="48"/>
      <c r="GG392" s="48"/>
      <c r="GH392" s="48"/>
      <c r="GI392" s="48"/>
      <c r="GJ392" s="8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77"/>
      <c r="GY392" s="77"/>
      <c r="GZ392" s="77"/>
    </row>
    <row r="393" spans="1:208">
      <c r="A393" s="48"/>
      <c r="B393" s="49"/>
      <c r="C393" s="50"/>
      <c r="D393" s="51"/>
      <c r="E393" s="50"/>
      <c r="F393" s="52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90"/>
      <c r="V393" s="91"/>
      <c r="W393" s="92"/>
      <c r="X393" s="92"/>
      <c r="Y393" s="92"/>
      <c r="Z393" s="91"/>
      <c r="AA393" s="93"/>
      <c r="AB393" s="99"/>
      <c r="AC393" s="54"/>
      <c r="AD393" s="54"/>
      <c r="AE393" s="54"/>
      <c r="AF393" s="54"/>
      <c r="AG393" s="54"/>
      <c r="AH393" s="54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113"/>
      <c r="BB393" s="110"/>
      <c r="BC393" s="110"/>
      <c r="BD393" s="110"/>
      <c r="BE393" s="110"/>
      <c r="BF393" s="110"/>
      <c r="BG393" s="110"/>
      <c r="BH393" s="110"/>
      <c r="BI393" s="113"/>
      <c r="BJ393" s="110"/>
      <c r="BK393" s="110"/>
      <c r="BL393" s="110"/>
      <c r="BM393" s="110"/>
      <c r="BN393" s="113"/>
      <c r="BO393" s="110"/>
      <c r="BP393" s="110"/>
      <c r="BQ393" s="110"/>
      <c r="BR393" s="110"/>
      <c r="BS393" s="110"/>
      <c r="BT393" s="110"/>
      <c r="BU393" s="110"/>
      <c r="BV393" s="110"/>
      <c r="BW393" s="110"/>
      <c r="BX393" s="113"/>
      <c r="BY393" s="110"/>
      <c r="BZ393" s="110"/>
      <c r="CA393" s="110"/>
      <c r="CB393" s="110"/>
      <c r="CC393" s="110"/>
      <c r="CD393" s="110"/>
      <c r="CE393" s="110"/>
      <c r="CF393" s="110"/>
      <c r="CG393" s="113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66"/>
      <c r="DA393" s="70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56"/>
      <c r="DR393" s="57"/>
      <c r="DS393" s="58"/>
      <c r="DT393" s="58"/>
      <c r="DU393" s="58"/>
      <c r="DV393" s="58"/>
      <c r="DW393" s="58"/>
      <c r="DX393" s="58"/>
      <c r="DY393" s="58"/>
      <c r="DZ393" s="59"/>
      <c r="EA393" s="60"/>
      <c r="EB393" s="61"/>
      <c r="EC393" s="62"/>
      <c r="ED393" s="2"/>
      <c r="EE393" s="63"/>
      <c r="EF393" s="63"/>
      <c r="EG393" s="63"/>
      <c r="EH393" s="63"/>
      <c r="EI393" s="63"/>
      <c r="EJ393" s="63"/>
      <c r="EK393" s="63"/>
      <c r="EL393" s="63"/>
      <c r="EM393" s="63"/>
      <c r="EN393" s="63"/>
      <c r="EO393" s="63"/>
      <c r="EP393" s="63"/>
      <c r="EQ393" s="63"/>
      <c r="ER393" s="63"/>
      <c r="ES393" s="63"/>
      <c r="ET393" s="63"/>
      <c r="EU393" s="80"/>
      <c r="EV393" s="64"/>
      <c r="EW393" s="64"/>
      <c r="EX393" s="64"/>
      <c r="EY393" s="64"/>
      <c r="EZ393" s="64"/>
      <c r="FA393" s="64"/>
      <c r="FB393" s="64"/>
      <c r="FC393" s="64"/>
      <c r="FD393" s="64"/>
      <c r="FE393" s="64"/>
      <c r="FF393" s="64"/>
      <c r="FG393" s="65"/>
      <c r="FH393" s="84"/>
      <c r="FI393" s="64"/>
      <c r="FJ393" s="8"/>
      <c r="FK393" s="48"/>
      <c r="FL393" s="48"/>
      <c r="FM393" s="48"/>
      <c r="FN393" s="48"/>
      <c r="FO393" s="48"/>
      <c r="FP393" s="48"/>
      <c r="FQ393" s="48"/>
      <c r="FR393" s="48"/>
      <c r="FS393" s="48"/>
      <c r="FT393" s="48"/>
      <c r="FU393" s="48"/>
      <c r="FV393" s="48"/>
      <c r="FW393" s="48"/>
      <c r="FX393" s="48"/>
      <c r="FY393" s="48"/>
      <c r="FZ393" s="48"/>
      <c r="GA393" s="48"/>
      <c r="GB393" s="48"/>
      <c r="GC393" s="48"/>
      <c r="GD393" s="48"/>
      <c r="GE393" s="48"/>
      <c r="GF393" s="48"/>
      <c r="GG393" s="48"/>
      <c r="GH393" s="48"/>
      <c r="GI393" s="48"/>
      <c r="GJ393" s="8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77"/>
      <c r="GY393" s="77"/>
      <c r="GZ393" s="77"/>
    </row>
    <row r="394" spans="1:208">
      <c r="A394" s="48"/>
      <c r="B394" s="49"/>
      <c r="C394" s="50"/>
      <c r="D394" s="51"/>
      <c r="E394" s="50"/>
      <c r="F394" s="52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90"/>
      <c r="V394" s="91"/>
      <c r="W394" s="92"/>
      <c r="X394" s="92"/>
      <c r="Y394" s="92"/>
      <c r="Z394" s="91"/>
      <c r="AA394" s="93"/>
      <c r="AB394" s="99"/>
      <c r="AC394" s="54"/>
      <c r="AD394" s="54"/>
      <c r="AE394" s="54"/>
      <c r="AF394" s="54"/>
      <c r="AG394" s="54"/>
      <c r="AH394" s="54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113"/>
      <c r="BB394" s="110"/>
      <c r="BC394" s="110"/>
      <c r="BD394" s="110"/>
      <c r="BE394" s="110"/>
      <c r="BF394" s="110"/>
      <c r="BG394" s="110"/>
      <c r="BH394" s="110"/>
      <c r="BI394" s="113"/>
      <c r="BJ394" s="110"/>
      <c r="BK394" s="110"/>
      <c r="BL394" s="110"/>
      <c r="BM394" s="110"/>
      <c r="BN394" s="113"/>
      <c r="BO394" s="110"/>
      <c r="BP394" s="110"/>
      <c r="BQ394" s="110"/>
      <c r="BR394" s="110"/>
      <c r="BS394" s="110"/>
      <c r="BT394" s="110"/>
      <c r="BU394" s="110"/>
      <c r="BV394" s="110"/>
      <c r="BW394" s="110"/>
      <c r="BX394" s="113"/>
      <c r="BY394" s="110"/>
      <c r="BZ394" s="110"/>
      <c r="CA394" s="110"/>
      <c r="CB394" s="110"/>
      <c r="CC394" s="110"/>
      <c r="CD394" s="110"/>
      <c r="CE394" s="110"/>
      <c r="CF394" s="110"/>
      <c r="CG394" s="113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66"/>
      <c r="DA394" s="70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56"/>
      <c r="DR394" s="57"/>
      <c r="DS394" s="58"/>
      <c r="DT394" s="58"/>
      <c r="DU394" s="58"/>
      <c r="DV394" s="58"/>
      <c r="DW394" s="58"/>
      <c r="DX394" s="58"/>
      <c r="DY394" s="58"/>
      <c r="DZ394" s="59"/>
      <c r="EA394" s="60"/>
      <c r="EB394" s="61"/>
      <c r="EC394" s="62"/>
      <c r="ED394" s="2"/>
      <c r="EE394" s="63"/>
      <c r="EF394" s="63"/>
      <c r="EG394" s="63"/>
      <c r="EH394" s="63"/>
      <c r="EI394" s="63"/>
      <c r="EJ394" s="63"/>
      <c r="EK394" s="63"/>
      <c r="EL394" s="63"/>
      <c r="EM394" s="63"/>
      <c r="EN394" s="63"/>
      <c r="EO394" s="63"/>
      <c r="EP394" s="63"/>
      <c r="EQ394" s="63"/>
      <c r="ER394" s="63"/>
      <c r="ES394" s="63"/>
      <c r="ET394" s="63"/>
      <c r="EU394" s="80"/>
      <c r="EV394" s="64"/>
      <c r="EW394" s="64"/>
      <c r="EX394" s="64"/>
      <c r="EY394" s="64"/>
      <c r="EZ394" s="64"/>
      <c r="FA394" s="64"/>
      <c r="FB394" s="64"/>
      <c r="FC394" s="64"/>
      <c r="FD394" s="64"/>
      <c r="FE394" s="64"/>
      <c r="FF394" s="64"/>
      <c r="FG394" s="65"/>
      <c r="FH394" s="84"/>
      <c r="FI394" s="64"/>
      <c r="FJ394" s="8"/>
      <c r="FK394" s="48"/>
      <c r="FL394" s="48"/>
      <c r="FM394" s="48"/>
      <c r="FN394" s="48"/>
      <c r="FO394" s="48"/>
      <c r="FP394" s="48"/>
      <c r="FQ394" s="48"/>
      <c r="FR394" s="48"/>
      <c r="FS394" s="48"/>
      <c r="FT394" s="48"/>
      <c r="FU394" s="48"/>
      <c r="FV394" s="48"/>
      <c r="FW394" s="48"/>
      <c r="FX394" s="48"/>
      <c r="FY394" s="48"/>
      <c r="FZ394" s="48"/>
      <c r="GA394" s="48"/>
      <c r="GB394" s="48"/>
      <c r="GC394" s="48"/>
      <c r="GD394" s="48"/>
      <c r="GE394" s="48"/>
      <c r="GF394" s="48"/>
      <c r="GG394" s="48"/>
      <c r="GH394" s="48"/>
      <c r="GI394" s="48"/>
      <c r="GJ394" s="8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77"/>
      <c r="GY394" s="77"/>
      <c r="GZ394" s="77"/>
    </row>
    <row r="395" spans="1:208">
      <c r="A395" s="48"/>
      <c r="B395" s="49"/>
      <c r="C395" s="50"/>
      <c r="D395" s="51"/>
      <c r="E395" s="50"/>
      <c r="F395" s="52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90"/>
      <c r="V395" s="91"/>
      <c r="W395" s="92"/>
      <c r="X395" s="92"/>
      <c r="Y395" s="92"/>
      <c r="Z395" s="91"/>
      <c r="AA395" s="93"/>
      <c r="AB395" s="99"/>
      <c r="AC395" s="54"/>
      <c r="AD395" s="54"/>
      <c r="AE395" s="54"/>
      <c r="AF395" s="54"/>
      <c r="AG395" s="54"/>
      <c r="AH395" s="54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113"/>
      <c r="BB395" s="110"/>
      <c r="BC395" s="110"/>
      <c r="BD395" s="110"/>
      <c r="BE395" s="110"/>
      <c r="BF395" s="110"/>
      <c r="BG395" s="110"/>
      <c r="BH395" s="110"/>
      <c r="BI395" s="113"/>
      <c r="BJ395" s="110"/>
      <c r="BK395" s="110"/>
      <c r="BL395" s="110"/>
      <c r="BM395" s="110"/>
      <c r="BN395" s="113"/>
      <c r="BO395" s="110"/>
      <c r="BP395" s="110"/>
      <c r="BQ395" s="110"/>
      <c r="BR395" s="110"/>
      <c r="BS395" s="110"/>
      <c r="BT395" s="110"/>
      <c r="BU395" s="110"/>
      <c r="BV395" s="110"/>
      <c r="BW395" s="110"/>
      <c r="BX395" s="113"/>
      <c r="BY395" s="110"/>
      <c r="BZ395" s="110"/>
      <c r="CA395" s="110"/>
      <c r="CB395" s="110"/>
      <c r="CC395" s="110"/>
      <c r="CD395" s="110"/>
      <c r="CE395" s="110"/>
      <c r="CF395" s="110"/>
      <c r="CG395" s="113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66"/>
      <c r="DA395" s="70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56"/>
      <c r="DR395" s="57"/>
      <c r="DS395" s="58"/>
      <c r="DT395" s="58"/>
      <c r="DU395" s="58"/>
      <c r="DV395" s="58"/>
      <c r="DW395" s="58"/>
      <c r="DX395" s="58"/>
      <c r="DY395" s="58"/>
      <c r="DZ395" s="59"/>
      <c r="EA395" s="60"/>
      <c r="EB395" s="61"/>
      <c r="EC395" s="62"/>
      <c r="ED395" s="2"/>
      <c r="EE395" s="63"/>
      <c r="EF395" s="63"/>
      <c r="EG395" s="63"/>
      <c r="EH395" s="63"/>
      <c r="EI395" s="63"/>
      <c r="EJ395" s="63"/>
      <c r="EK395" s="63"/>
      <c r="EL395" s="63"/>
      <c r="EM395" s="63"/>
      <c r="EN395" s="63"/>
      <c r="EO395" s="63"/>
      <c r="EP395" s="63"/>
      <c r="EQ395" s="63"/>
      <c r="ER395" s="63"/>
      <c r="ES395" s="63"/>
      <c r="ET395" s="63"/>
      <c r="EU395" s="80"/>
      <c r="EV395" s="64"/>
      <c r="EW395" s="64"/>
      <c r="EX395" s="64"/>
      <c r="EY395" s="64"/>
      <c r="EZ395" s="64"/>
      <c r="FA395" s="64"/>
      <c r="FB395" s="64"/>
      <c r="FC395" s="64"/>
      <c r="FD395" s="64"/>
      <c r="FE395" s="64"/>
      <c r="FF395" s="64"/>
      <c r="FG395" s="65"/>
      <c r="FH395" s="84"/>
      <c r="FI395" s="64"/>
      <c r="FJ395" s="8"/>
      <c r="FK395" s="48"/>
      <c r="FL395" s="48"/>
      <c r="FM395" s="48"/>
      <c r="FN395" s="48"/>
      <c r="FO395" s="48"/>
      <c r="FP395" s="48"/>
      <c r="FQ395" s="48"/>
      <c r="FR395" s="48"/>
      <c r="FS395" s="48"/>
      <c r="FT395" s="48"/>
      <c r="FU395" s="48"/>
      <c r="FV395" s="48"/>
      <c r="FW395" s="48"/>
      <c r="FX395" s="48"/>
      <c r="FY395" s="48"/>
      <c r="FZ395" s="48"/>
      <c r="GA395" s="48"/>
      <c r="GB395" s="48"/>
      <c r="GC395" s="48"/>
      <c r="GD395" s="48"/>
      <c r="GE395" s="48"/>
      <c r="GF395" s="48"/>
      <c r="GG395" s="48"/>
      <c r="GH395" s="48"/>
      <c r="GI395" s="48"/>
      <c r="GJ395" s="8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77"/>
      <c r="GY395" s="77"/>
      <c r="GZ395" s="77"/>
    </row>
    <row r="396" spans="1:208">
      <c r="A396" s="48"/>
      <c r="B396" s="49"/>
      <c r="C396" s="50"/>
      <c r="D396" s="51"/>
      <c r="E396" s="50"/>
      <c r="F396" s="52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90"/>
      <c r="V396" s="91"/>
      <c r="W396" s="92"/>
      <c r="X396" s="92"/>
      <c r="Y396" s="92"/>
      <c r="Z396" s="91"/>
      <c r="AA396" s="93"/>
      <c r="AB396" s="99"/>
      <c r="AC396" s="54"/>
      <c r="AD396" s="54"/>
      <c r="AE396" s="54"/>
      <c r="AF396" s="54"/>
      <c r="AG396" s="54"/>
      <c r="AH396" s="54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113"/>
      <c r="BB396" s="110"/>
      <c r="BC396" s="110"/>
      <c r="BD396" s="110"/>
      <c r="BE396" s="110"/>
      <c r="BF396" s="110"/>
      <c r="BG396" s="110"/>
      <c r="BH396" s="110"/>
      <c r="BI396" s="113"/>
      <c r="BJ396" s="110"/>
      <c r="BK396" s="110"/>
      <c r="BL396" s="110"/>
      <c r="BM396" s="110"/>
      <c r="BN396" s="113"/>
      <c r="BO396" s="110"/>
      <c r="BP396" s="110"/>
      <c r="BQ396" s="110"/>
      <c r="BR396" s="110"/>
      <c r="BS396" s="110"/>
      <c r="BT396" s="110"/>
      <c r="BU396" s="110"/>
      <c r="BV396" s="110"/>
      <c r="BW396" s="110"/>
      <c r="BX396" s="113"/>
      <c r="BY396" s="110"/>
      <c r="BZ396" s="110"/>
      <c r="CA396" s="110"/>
      <c r="CB396" s="110"/>
      <c r="CC396" s="110"/>
      <c r="CD396" s="110"/>
      <c r="CE396" s="110"/>
      <c r="CF396" s="110"/>
      <c r="CG396" s="113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66"/>
      <c r="DA396" s="70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56"/>
      <c r="DR396" s="57"/>
      <c r="DS396" s="58"/>
      <c r="DT396" s="58"/>
      <c r="DU396" s="58"/>
      <c r="DV396" s="58"/>
      <c r="DW396" s="58"/>
      <c r="DX396" s="58"/>
      <c r="DY396" s="58"/>
      <c r="DZ396" s="59"/>
      <c r="EA396" s="60"/>
      <c r="EB396" s="61"/>
      <c r="EC396" s="62"/>
      <c r="ED396" s="2"/>
      <c r="EE396" s="63"/>
      <c r="EF396" s="63"/>
      <c r="EG396" s="63"/>
      <c r="EH396" s="63"/>
      <c r="EI396" s="63"/>
      <c r="EJ396" s="63"/>
      <c r="EK396" s="63"/>
      <c r="EL396" s="63"/>
      <c r="EM396" s="63"/>
      <c r="EN396" s="63"/>
      <c r="EO396" s="63"/>
      <c r="EP396" s="63"/>
      <c r="EQ396" s="63"/>
      <c r="ER396" s="63"/>
      <c r="ES396" s="63"/>
      <c r="ET396" s="63"/>
      <c r="EU396" s="80"/>
      <c r="EV396" s="64"/>
      <c r="EW396" s="64"/>
      <c r="EX396" s="64"/>
      <c r="EY396" s="64"/>
      <c r="EZ396" s="64"/>
      <c r="FA396" s="64"/>
      <c r="FB396" s="64"/>
      <c r="FC396" s="64"/>
      <c r="FD396" s="64"/>
      <c r="FE396" s="64"/>
      <c r="FF396" s="64"/>
      <c r="FG396" s="65"/>
      <c r="FH396" s="84"/>
      <c r="FI396" s="64"/>
      <c r="FJ396" s="8"/>
      <c r="FK396" s="48"/>
      <c r="FL396" s="48"/>
      <c r="FM396" s="48"/>
      <c r="FN396" s="48"/>
      <c r="FO396" s="48"/>
      <c r="FP396" s="48"/>
      <c r="FQ396" s="48"/>
      <c r="FR396" s="48"/>
      <c r="FS396" s="48"/>
      <c r="FT396" s="48"/>
      <c r="FU396" s="48"/>
      <c r="FV396" s="48"/>
      <c r="FW396" s="48"/>
      <c r="FX396" s="48"/>
      <c r="FY396" s="48"/>
      <c r="FZ396" s="48"/>
      <c r="GA396" s="48"/>
      <c r="GB396" s="48"/>
      <c r="GC396" s="48"/>
      <c r="GD396" s="48"/>
      <c r="GE396" s="48"/>
      <c r="GF396" s="48"/>
      <c r="GG396" s="48"/>
      <c r="GH396" s="48"/>
      <c r="GI396" s="48"/>
      <c r="GJ396" s="8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77"/>
      <c r="GY396" s="77"/>
      <c r="GZ396" s="77"/>
    </row>
    <row r="397" spans="1:208">
      <c r="A397" s="48"/>
      <c r="B397" s="49"/>
      <c r="C397" s="50"/>
      <c r="D397" s="51"/>
      <c r="E397" s="50"/>
      <c r="F397" s="52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90"/>
      <c r="V397" s="91"/>
      <c r="W397" s="92"/>
      <c r="X397" s="92"/>
      <c r="Y397" s="92"/>
      <c r="Z397" s="91"/>
      <c r="AA397" s="93"/>
      <c r="AB397" s="99"/>
      <c r="AC397" s="54"/>
      <c r="AD397" s="54"/>
      <c r="AE397" s="54"/>
      <c r="AF397" s="54"/>
      <c r="AG397" s="54"/>
      <c r="AH397" s="54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113"/>
      <c r="BB397" s="110"/>
      <c r="BC397" s="110"/>
      <c r="BD397" s="110"/>
      <c r="BE397" s="110"/>
      <c r="BF397" s="110"/>
      <c r="BG397" s="110"/>
      <c r="BH397" s="110"/>
      <c r="BI397" s="113"/>
      <c r="BJ397" s="110"/>
      <c r="BK397" s="110"/>
      <c r="BL397" s="110"/>
      <c r="BM397" s="110"/>
      <c r="BN397" s="113"/>
      <c r="BO397" s="110"/>
      <c r="BP397" s="110"/>
      <c r="BQ397" s="110"/>
      <c r="BR397" s="110"/>
      <c r="BS397" s="110"/>
      <c r="BT397" s="110"/>
      <c r="BU397" s="110"/>
      <c r="BV397" s="110"/>
      <c r="BW397" s="110"/>
      <c r="BX397" s="113"/>
      <c r="BY397" s="110"/>
      <c r="BZ397" s="110"/>
      <c r="CA397" s="110"/>
      <c r="CB397" s="110"/>
      <c r="CC397" s="110"/>
      <c r="CD397" s="110"/>
      <c r="CE397" s="110"/>
      <c r="CF397" s="110"/>
      <c r="CG397" s="113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66"/>
      <c r="DA397" s="70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56"/>
      <c r="DR397" s="57"/>
      <c r="DS397" s="58"/>
      <c r="DT397" s="58"/>
      <c r="DU397" s="58"/>
      <c r="DV397" s="58"/>
      <c r="DW397" s="58"/>
      <c r="DX397" s="58"/>
      <c r="DY397" s="58"/>
      <c r="DZ397" s="59"/>
      <c r="EA397" s="60"/>
      <c r="EB397" s="61"/>
      <c r="EC397" s="62"/>
      <c r="ED397" s="2"/>
      <c r="EE397" s="63"/>
      <c r="EF397" s="63"/>
      <c r="EG397" s="63"/>
      <c r="EH397" s="63"/>
      <c r="EI397" s="63"/>
      <c r="EJ397" s="63"/>
      <c r="EK397" s="63"/>
      <c r="EL397" s="63"/>
      <c r="EM397" s="63"/>
      <c r="EN397" s="63"/>
      <c r="EO397" s="63"/>
      <c r="EP397" s="63"/>
      <c r="EQ397" s="63"/>
      <c r="ER397" s="63"/>
      <c r="ES397" s="63"/>
      <c r="ET397" s="63"/>
      <c r="EU397" s="80"/>
      <c r="EV397" s="64"/>
      <c r="EW397" s="64"/>
      <c r="EX397" s="64"/>
      <c r="EY397" s="64"/>
      <c r="EZ397" s="64"/>
      <c r="FA397" s="64"/>
      <c r="FB397" s="64"/>
      <c r="FC397" s="64"/>
      <c r="FD397" s="64"/>
      <c r="FE397" s="64"/>
      <c r="FF397" s="64"/>
      <c r="FG397" s="65"/>
      <c r="FH397" s="84"/>
      <c r="FI397" s="64"/>
      <c r="FJ397" s="8"/>
      <c r="FK397" s="48"/>
      <c r="FL397" s="48"/>
      <c r="FM397" s="48"/>
      <c r="FN397" s="48"/>
      <c r="FO397" s="48"/>
      <c r="FP397" s="48"/>
      <c r="FQ397" s="48"/>
      <c r="FR397" s="48"/>
      <c r="FS397" s="48"/>
      <c r="FT397" s="48"/>
      <c r="FU397" s="48"/>
      <c r="FV397" s="48"/>
      <c r="FW397" s="48"/>
      <c r="FX397" s="48"/>
      <c r="FY397" s="48"/>
      <c r="FZ397" s="48"/>
      <c r="GA397" s="48"/>
      <c r="GB397" s="48"/>
      <c r="GC397" s="48"/>
      <c r="GD397" s="48"/>
      <c r="GE397" s="48"/>
      <c r="GF397" s="48"/>
      <c r="GG397" s="48"/>
      <c r="GH397" s="48"/>
      <c r="GI397" s="48"/>
      <c r="GJ397" s="8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77"/>
      <c r="GY397" s="77"/>
      <c r="GZ397" s="77"/>
    </row>
    <row r="398" spans="1:208">
      <c r="A398" s="48"/>
      <c r="B398" s="49"/>
      <c r="C398" s="50"/>
      <c r="D398" s="51"/>
      <c r="E398" s="50"/>
      <c r="F398" s="52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90"/>
      <c r="V398" s="91"/>
      <c r="W398" s="92"/>
      <c r="X398" s="92"/>
      <c r="Y398" s="92"/>
      <c r="Z398" s="91"/>
      <c r="AA398" s="93"/>
      <c r="AB398" s="99"/>
      <c r="AC398" s="54"/>
      <c r="AD398" s="54"/>
      <c r="AE398" s="54"/>
      <c r="AF398" s="54"/>
      <c r="AG398" s="54"/>
      <c r="AH398" s="54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113"/>
      <c r="BB398" s="110"/>
      <c r="BC398" s="110"/>
      <c r="BD398" s="110"/>
      <c r="BE398" s="110"/>
      <c r="BF398" s="110"/>
      <c r="BG398" s="110"/>
      <c r="BH398" s="110"/>
      <c r="BI398" s="113"/>
      <c r="BJ398" s="110"/>
      <c r="BK398" s="110"/>
      <c r="BL398" s="110"/>
      <c r="BM398" s="110"/>
      <c r="BN398" s="113"/>
      <c r="BO398" s="110"/>
      <c r="BP398" s="110"/>
      <c r="BQ398" s="110"/>
      <c r="BR398" s="110"/>
      <c r="BS398" s="110"/>
      <c r="BT398" s="110"/>
      <c r="BU398" s="110"/>
      <c r="BV398" s="110"/>
      <c r="BW398" s="110"/>
      <c r="BX398" s="113"/>
      <c r="BY398" s="110"/>
      <c r="BZ398" s="110"/>
      <c r="CA398" s="110"/>
      <c r="CB398" s="110"/>
      <c r="CC398" s="110"/>
      <c r="CD398" s="110"/>
      <c r="CE398" s="110"/>
      <c r="CF398" s="110"/>
      <c r="CG398" s="113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66"/>
      <c r="DA398" s="70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56"/>
      <c r="DR398" s="57"/>
      <c r="DS398" s="58"/>
      <c r="DT398" s="58"/>
      <c r="DU398" s="58"/>
      <c r="DV398" s="58"/>
      <c r="DW398" s="58"/>
      <c r="DX398" s="58"/>
      <c r="DY398" s="58"/>
      <c r="DZ398" s="59"/>
      <c r="EA398" s="60"/>
      <c r="EB398" s="61"/>
      <c r="EC398" s="62"/>
      <c r="ED398" s="2"/>
      <c r="EE398" s="63"/>
      <c r="EF398" s="63"/>
      <c r="EG398" s="63"/>
      <c r="EH398" s="63"/>
      <c r="EI398" s="63"/>
      <c r="EJ398" s="63"/>
      <c r="EK398" s="63"/>
      <c r="EL398" s="63"/>
      <c r="EM398" s="63"/>
      <c r="EN398" s="63"/>
      <c r="EO398" s="63"/>
      <c r="EP398" s="63"/>
      <c r="EQ398" s="63"/>
      <c r="ER398" s="63"/>
      <c r="ES398" s="63"/>
      <c r="ET398" s="63"/>
      <c r="EU398" s="80"/>
      <c r="EV398" s="64"/>
      <c r="EW398" s="64"/>
      <c r="EX398" s="64"/>
      <c r="EY398" s="64"/>
      <c r="EZ398" s="64"/>
      <c r="FA398" s="64"/>
      <c r="FB398" s="64"/>
      <c r="FC398" s="64"/>
      <c r="FD398" s="64"/>
      <c r="FE398" s="64"/>
      <c r="FF398" s="64"/>
      <c r="FG398" s="65"/>
      <c r="FH398" s="84"/>
      <c r="FI398" s="64"/>
      <c r="FJ398" s="8"/>
      <c r="FK398" s="48"/>
      <c r="FL398" s="48"/>
      <c r="FM398" s="48"/>
      <c r="FN398" s="48"/>
      <c r="FO398" s="48"/>
      <c r="FP398" s="48"/>
      <c r="FQ398" s="48"/>
      <c r="FR398" s="48"/>
      <c r="FS398" s="48"/>
      <c r="FT398" s="48"/>
      <c r="FU398" s="48"/>
      <c r="FV398" s="48"/>
      <c r="FW398" s="48"/>
      <c r="FX398" s="48"/>
      <c r="FY398" s="48"/>
      <c r="FZ398" s="48"/>
      <c r="GA398" s="48"/>
      <c r="GB398" s="48"/>
      <c r="GC398" s="48"/>
      <c r="GD398" s="48"/>
      <c r="GE398" s="48"/>
      <c r="GF398" s="48"/>
      <c r="GG398" s="48"/>
      <c r="GH398" s="48"/>
      <c r="GI398" s="48"/>
      <c r="GJ398" s="8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77"/>
      <c r="GY398" s="77"/>
      <c r="GZ398" s="77"/>
    </row>
    <row r="399" spans="1:208">
      <c r="A399" s="48"/>
      <c r="B399" s="49"/>
      <c r="C399" s="50"/>
      <c r="D399" s="51"/>
      <c r="E399" s="50"/>
      <c r="F399" s="52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90"/>
      <c r="V399" s="91"/>
      <c r="W399" s="92"/>
      <c r="X399" s="92"/>
      <c r="Y399" s="92"/>
      <c r="Z399" s="91"/>
      <c r="AA399" s="93"/>
      <c r="AB399" s="99"/>
      <c r="AC399" s="54"/>
      <c r="AD399" s="54"/>
      <c r="AE399" s="54"/>
      <c r="AF399" s="54"/>
      <c r="AG399" s="54"/>
      <c r="AH399" s="54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113"/>
      <c r="BB399" s="110"/>
      <c r="BC399" s="110"/>
      <c r="BD399" s="110"/>
      <c r="BE399" s="110"/>
      <c r="BF399" s="110"/>
      <c r="BG399" s="110"/>
      <c r="BH399" s="110"/>
      <c r="BI399" s="113"/>
      <c r="BJ399" s="110"/>
      <c r="BK399" s="110"/>
      <c r="BL399" s="110"/>
      <c r="BM399" s="110"/>
      <c r="BN399" s="113"/>
      <c r="BO399" s="110"/>
      <c r="BP399" s="110"/>
      <c r="BQ399" s="110"/>
      <c r="BR399" s="110"/>
      <c r="BS399" s="110"/>
      <c r="BT399" s="110"/>
      <c r="BU399" s="110"/>
      <c r="BV399" s="110"/>
      <c r="BW399" s="110"/>
      <c r="BX399" s="113"/>
      <c r="BY399" s="110"/>
      <c r="BZ399" s="110"/>
      <c r="CA399" s="110"/>
      <c r="CB399" s="110"/>
      <c r="CC399" s="110"/>
      <c r="CD399" s="110"/>
      <c r="CE399" s="110"/>
      <c r="CF399" s="110"/>
      <c r="CG399" s="113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66"/>
      <c r="DA399" s="70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56"/>
      <c r="DR399" s="57"/>
      <c r="DS399" s="58"/>
      <c r="DT399" s="58"/>
      <c r="DU399" s="58"/>
      <c r="DV399" s="58"/>
      <c r="DW399" s="58"/>
      <c r="DX399" s="58"/>
      <c r="DY399" s="58"/>
      <c r="DZ399" s="59"/>
      <c r="EA399" s="60"/>
      <c r="EB399" s="61"/>
      <c r="EC399" s="62"/>
      <c r="ED399" s="2"/>
      <c r="EE399" s="63"/>
      <c r="EF399" s="63"/>
      <c r="EG399" s="63"/>
      <c r="EH399" s="63"/>
      <c r="EI399" s="63"/>
      <c r="EJ399" s="63"/>
      <c r="EK399" s="63"/>
      <c r="EL399" s="63"/>
      <c r="EM399" s="63"/>
      <c r="EN399" s="63"/>
      <c r="EO399" s="63"/>
      <c r="EP399" s="63"/>
      <c r="EQ399" s="63"/>
      <c r="ER399" s="63"/>
      <c r="ES399" s="63"/>
      <c r="ET399" s="63"/>
      <c r="EU399" s="80"/>
      <c r="EV399" s="64"/>
      <c r="EW399" s="64"/>
      <c r="EX399" s="64"/>
      <c r="EY399" s="64"/>
      <c r="EZ399" s="64"/>
      <c r="FA399" s="64"/>
      <c r="FB399" s="64"/>
      <c r="FC399" s="64"/>
      <c r="FD399" s="64"/>
      <c r="FE399" s="64"/>
      <c r="FF399" s="64"/>
      <c r="FG399" s="65"/>
      <c r="FH399" s="84"/>
      <c r="FI399" s="64"/>
      <c r="FJ399" s="8"/>
      <c r="FK399" s="48"/>
      <c r="FL399" s="48"/>
      <c r="FM399" s="48"/>
      <c r="FN399" s="48"/>
      <c r="FO399" s="48"/>
      <c r="FP399" s="48"/>
      <c r="FQ399" s="48"/>
      <c r="FR399" s="48"/>
      <c r="FS399" s="48"/>
      <c r="FT399" s="48"/>
      <c r="FU399" s="48"/>
      <c r="FV399" s="48"/>
      <c r="FW399" s="48"/>
      <c r="FX399" s="48"/>
      <c r="FY399" s="48"/>
      <c r="FZ399" s="48"/>
      <c r="GA399" s="48"/>
      <c r="GB399" s="48"/>
      <c r="GC399" s="48"/>
      <c r="GD399" s="48"/>
      <c r="GE399" s="48"/>
      <c r="GF399" s="48"/>
      <c r="GG399" s="48"/>
      <c r="GH399" s="48"/>
      <c r="GI399" s="48"/>
      <c r="GJ399" s="8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77"/>
      <c r="GY399" s="77"/>
      <c r="GZ399" s="77"/>
    </row>
    <row r="400" spans="1:208">
      <c r="A400" s="48"/>
      <c r="B400" s="49"/>
      <c r="C400" s="50"/>
      <c r="D400" s="51"/>
      <c r="E400" s="50"/>
      <c r="F400" s="52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90"/>
      <c r="V400" s="91"/>
      <c r="W400" s="92"/>
      <c r="X400" s="92"/>
      <c r="Y400" s="92"/>
      <c r="Z400" s="91"/>
      <c r="AA400" s="93"/>
      <c r="AB400" s="99"/>
      <c r="AC400" s="54"/>
      <c r="AD400" s="54"/>
      <c r="AE400" s="54"/>
      <c r="AF400" s="54"/>
      <c r="AG400" s="54"/>
      <c r="AH400" s="54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113"/>
      <c r="BB400" s="110"/>
      <c r="BC400" s="110"/>
      <c r="BD400" s="110"/>
      <c r="BE400" s="110"/>
      <c r="BF400" s="110"/>
      <c r="BG400" s="110"/>
      <c r="BH400" s="110"/>
      <c r="BI400" s="113"/>
      <c r="BJ400" s="110"/>
      <c r="BK400" s="110"/>
      <c r="BL400" s="110"/>
      <c r="BM400" s="110"/>
      <c r="BN400" s="113"/>
      <c r="BO400" s="110"/>
      <c r="BP400" s="110"/>
      <c r="BQ400" s="110"/>
      <c r="BR400" s="110"/>
      <c r="BS400" s="110"/>
      <c r="BT400" s="110"/>
      <c r="BU400" s="110"/>
      <c r="BV400" s="110"/>
      <c r="BW400" s="110"/>
      <c r="BX400" s="113"/>
      <c r="BY400" s="110"/>
      <c r="BZ400" s="110"/>
      <c r="CA400" s="110"/>
      <c r="CB400" s="110"/>
      <c r="CC400" s="110"/>
      <c r="CD400" s="110"/>
      <c r="CE400" s="110"/>
      <c r="CF400" s="110"/>
      <c r="CG400" s="113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66"/>
      <c r="DA400" s="70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56"/>
      <c r="DR400" s="57"/>
      <c r="DS400" s="58"/>
      <c r="DT400" s="58"/>
      <c r="DU400" s="58"/>
      <c r="DV400" s="58"/>
      <c r="DW400" s="58"/>
      <c r="DX400" s="58"/>
      <c r="DY400" s="58"/>
      <c r="DZ400" s="59"/>
      <c r="EA400" s="60"/>
      <c r="EB400" s="61"/>
      <c r="EC400" s="62"/>
      <c r="ED400" s="2"/>
      <c r="EE400" s="63"/>
      <c r="EF400" s="63"/>
      <c r="EG400" s="63"/>
      <c r="EH400" s="63"/>
      <c r="EI400" s="63"/>
      <c r="EJ400" s="63"/>
      <c r="EK400" s="63"/>
      <c r="EL400" s="63"/>
      <c r="EM400" s="63"/>
      <c r="EN400" s="63"/>
      <c r="EO400" s="63"/>
      <c r="EP400" s="63"/>
      <c r="EQ400" s="63"/>
      <c r="ER400" s="63"/>
      <c r="ES400" s="63"/>
      <c r="ET400" s="63"/>
      <c r="EU400" s="80"/>
      <c r="EV400" s="64"/>
      <c r="EW400" s="64"/>
      <c r="EX400" s="64"/>
      <c r="EY400" s="64"/>
      <c r="EZ400" s="64"/>
      <c r="FA400" s="64"/>
      <c r="FB400" s="64"/>
      <c r="FC400" s="64"/>
      <c r="FD400" s="64"/>
      <c r="FE400" s="64"/>
      <c r="FF400" s="64"/>
      <c r="FG400" s="65"/>
      <c r="FH400" s="84"/>
      <c r="FI400" s="64"/>
      <c r="FJ400" s="8"/>
      <c r="FK400" s="48"/>
      <c r="FL400" s="48"/>
      <c r="FM400" s="48"/>
      <c r="FN400" s="48"/>
      <c r="FO400" s="48"/>
      <c r="FP400" s="48"/>
      <c r="FQ400" s="48"/>
      <c r="FR400" s="48"/>
      <c r="FS400" s="48"/>
      <c r="FT400" s="48"/>
      <c r="FU400" s="48"/>
      <c r="FV400" s="48"/>
      <c r="FW400" s="48"/>
      <c r="FX400" s="48"/>
      <c r="FY400" s="48"/>
      <c r="FZ400" s="48"/>
      <c r="GA400" s="48"/>
      <c r="GB400" s="48"/>
      <c r="GC400" s="48"/>
      <c r="GD400" s="48"/>
      <c r="GE400" s="48"/>
      <c r="GF400" s="48"/>
      <c r="GG400" s="48"/>
      <c r="GH400" s="48"/>
      <c r="GI400" s="48"/>
      <c r="GJ400" s="8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77"/>
      <c r="GY400" s="77"/>
      <c r="GZ400" s="77"/>
    </row>
    <row r="401" spans="1:208">
      <c r="A401" s="48"/>
      <c r="B401" s="49"/>
      <c r="C401" s="50"/>
      <c r="D401" s="51"/>
      <c r="E401" s="50"/>
      <c r="F401" s="52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90"/>
      <c r="V401" s="91"/>
      <c r="W401" s="92"/>
      <c r="X401" s="92"/>
      <c r="Y401" s="92"/>
      <c r="Z401" s="91"/>
      <c r="AA401" s="93"/>
      <c r="AB401" s="99"/>
      <c r="AC401" s="54"/>
      <c r="AD401" s="54"/>
      <c r="AE401" s="54"/>
      <c r="AF401" s="54"/>
      <c r="AG401" s="54"/>
      <c r="AH401" s="54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113"/>
      <c r="BB401" s="110"/>
      <c r="BC401" s="110"/>
      <c r="BD401" s="110"/>
      <c r="BE401" s="110"/>
      <c r="BF401" s="110"/>
      <c r="BG401" s="110"/>
      <c r="BH401" s="110"/>
      <c r="BI401" s="113"/>
      <c r="BJ401" s="110"/>
      <c r="BK401" s="110"/>
      <c r="BL401" s="110"/>
      <c r="BM401" s="110"/>
      <c r="BN401" s="113"/>
      <c r="BO401" s="110"/>
      <c r="BP401" s="110"/>
      <c r="BQ401" s="110"/>
      <c r="BR401" s="110"/>
      <c r="BS401" s="110"/>
      <c r="BT401" s="110"/>
      <c r="BU401" s="110"/>
      <c r="BV401" s="110"/>
      <c r="BW401" s="110"/>
      <c r="BX401" s="113"/>
      <c r="BY401" s="110"/>
      <c r="BZ401" s="110"/>
      <c r="CA401" s="110"/>
      <c r="CB401" s="110"/>
      <c r="CC401" s="110"/>
      <c r="CD401" s="110"/>
      <c r="CE401" s="110"/>
      <c r="CF401" s="110"/>
      <c r="CG401" s="113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66"/>
      <c r="DA401" s="70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56"/>
      <c r="DR401" s="57"/>
      <c r="DS401" s="58"/>
      <c r="DT401" s="58"/>
      <c r="DU401" s="58"/>
      <c r="DV401" s="58"/>
      <c r="DW401" s="58"/>
      <c r="DX401" s="58"/>
      <c r="DY401" s="58"/>
      <c r="DZ401" s="59"/>
      <c r="EA401" s="60"/>
      <c r="EB401" s="61"/>
      <c r="EC401" s="62"/>
      <c r="ED401" s="2"/>
      <c r="EE401" s="63"/>
      <c r="EF401" s="63"/>
      <c r="EG401" s="63"/>
      <c r="EH401" s="63"/>
      <c r="EI401" s="63"/>
      <c r="EJ401" s="63"/>
      <c r="EK401" s="63"/>
      <c r="EL401" s="63"/>
      <c r="EM401" s="63"/>
      <c r="EN401" s="63"/>
      <c r="EO401" s="63"/>
      <c r="EP401" s="63"/>
      <c r="EQ401" s="63"/>
      <c r="ER401" s="63"/>
      <c r="ES401" s="63"/>
      <c r="ET401" s="63"/>
      <c r="EU401" s="80"/>
      <c r="EV401" s="64"/>
      <c r="EW401" s="64"/>
      <c r="EX401" s="64"/>
      <c r="EY401" s="64"/>
      <c r="EZ401" s="64"/>
      <c r="FA401" s="64"/>
      <c r="FB401" s="64"/>
      <c r="FC401" s="64"/>
      <c r="FD401" s="64"/>
      <c r="FE401" s="64"/>
      <c r="FF401" s="64"/>
      <c r="FG401" s="65"/>
      <c r="FH401" s="84"/>
      <c r="FI401" s="64"/>
      <c r="FJ401" s="8"/>
      <c r="FK401" s="48"/>
      <c r="FL401" s="48"/>
      <c r="FM401" s="48"/>
      <c r="FN401" s="48"/>
      <c r="FO401" s="48"/>
      <c r="FP401" s="48"/>
      <c r="FQ401" s="48"/>
      <c r="FR401" s="48"/>
      <c r="FS401" s="48"/>
      <c r="FT401" s="48"/>
      <c r="FU401" s="48"/>
      <c r="FV401" s="48"/>
      <c r="FW401" s="48"/>
      <c r="FX401" s="48"/>
      <c r="FY401" s="48"/>
      <c r="FZ401" s="48"/>
      <c r="GA401" s="48"/>
      <c r="GB401" s="48"/>
      <c r="GC401" s="48"/>
      <c r="GD401" s="48"/>
      <c r="GE401" s="48"/>
      <c r="GF401" s="48"/>
      <c r="GG401" s="48"/>
      <c r="GH401" s="48"/>
      <c r="GI401" s="48"/>
      <c r="GJ401" s="8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77"/>
      <c r="GY401" s="77"/>
      <c r="GZ401" s="77"/>
    </row>
    <row r="402" spans="1:208">
      <c r="A402" s="48"/>
      <c r="B402" s="49"/>
      <c r="C402" s="50"/>
      <c r="D402" s="51"/>
      <c r="E402" s="50"/>
      <c r="F402" s="52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90"/>
      <c r="V402" s="91"/>
      <c r="W402" s="92"/>
      <c r="X402" s="92"/>
      <c r="Y402" s="92"/>
      <c r="Z402" s="91"/>
      <c r="AA402" s="93"/>
      <c r="AB402" s="99"/>
      <c r="AC402" s="54"/>
      <c r="AD402" s="54"/>
      <c r="AE402" s="54"/>
      <c r="AF402" s="54"/>
      <c r="AG402" s="54"/>
      <c r="AH402" s="54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113"/>
      <c r="BB402" s="110"/>
      <c r="BC402" s="110"/>
      <c r="BD402" s="110"/>
      <c r="BE402" s="110"/>
      <c r="BF402" s="110"/>
      <c r="BG402" s="110"/>
      <c r="BH402" s="110"/>
      <c r="BI402" s="113"/>
      <c r="BJ402" s="110"/>
      <c r="BK402" s="110"/>
      <c r="BL402" s="110"/>
      <c r="BM402" s="110"/>
      <c r="BN402" s="113"/>
      <c r="BO402" s="110"/>
      <c r="BP402" s="110"/>
      <c r="BQ402" s="110"/>
      <c r="BR402" s="110"/>
      <c r="BS402" s="110"/>
      <c r="BT402" s="110"/>
      <c r="BU402" s="110"/>
      <c r="BV402" s="110"/>
      <c r="BW402" s="110"/>
      <c r="BX402" s="113"/>
      <c r="BY402" s="110"/>
      <c r="BZ402" s="110"/>
      <c r="CA402" s="110"/>
      <c r="CB402" s="110"/>
      <c r="CC402" s="110"/>
      <c r="CD402" s="110"/>
      <c r="CE402" s="110"/>
      <c r="CF402" s="110"/>
      <c r="CG402" s="113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66"/>
      <c r="DA402" s="70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56"/>
      <c r="DR402" s="57"/>
      <c r="DS402" s="58"/>
      <c r="DT402" s="58"/>
      <c r="DU402" s="58"/>
      <c r="DV402" s="58"/>
      <c r="DW402" s="58"/>
      <c r="DX402" s="58"/>
      <c r="DY402" s="58"/>
      <c r="DZ402" s="59"/>
      <c r="EA402" s="60"/>
      <c r="EB402" s="61"/>
      <c r="EC402" s="62"/>
      <c r="ED402" s="2"/>
      <c r="EE402" s="63"/>
      <c r="EF402" s="63"/>
      <c r="EG402" s="63"/>
      <c r="EH402" s="63"/>
      <c r="EI402" s="63"/>
      <c r="EJ402" s="63"/>
      <c r="EK402" s="63"/>
      <c r="EL402" s="63"/>
      <c r="EM402" s="63"/>
      <c r="EN402" s="63"/>
      <c r="EO402" s="63"/>
      <c r="EP402" s="63"/>
      <c r="EQ402" s="63"/>
      <c r="ER402" s="63"/>
      <c r="ES402" s="63"/>
      <c r="ET402" s="63"/>
      <c r="EU402" s="80"/>
      <c r="EV402" s="64"/>
      <c r="EW402" s="64"/>
      <c r="EX402" s="64"/>
      <c r="EY402" s="64"/>
      <c r="EZ402" s="64"/>
      <c r="FA402" s="64"/>
      <c r="FB402" s="64"/>
      <c r="FC402" s="64"/>
      <c r="FD402" s="64"/>
      <c r="FE402" s="64"/>
      <c r="FF402" s="64"/>
      <c r="FG402" s="65"/>
      <c r="FH402" s="84"/>
      <c r="FI402" s="64"/>
      <c r="FJ402" s="8"/>
      <c r="FK402" s="48"/>
      <c r="FL402" s="48"/>
      <c r="FM402" s="48"/>
      <c r="FN402" s="48"/>
      <c r="FO402" s="48"/>
      <c r="FP402" s="48"/>
      <c r="FQ402" s="48"/>
      <c r="FR402" s="48"/>
      <c r="FS402" s="48"/>
      <c r="FT402" s="48"/>
      <c r="FU402" s="48"/>
      <c r="FV402" s="48"/>
      <c r="FW402" s="48"/>
      <c r="FX402" s="48"/>
      <c r="FY402" s="48"/>
      <c r="FZ402" s="48"/>
      <c r="GA402" s="48"/>
      <c r="GB402" s="48"/>
      <c r="GC402" s="48"/>
      <c r="GD402" s="48"/>
      <c r="GE402" s="48"/>
      <c r="GF402" s="48"/>
      <c r="GG402" s="48"/>
      <c r="GH402" s="48"/>
      <c r="GI402" s="48"/>
      <c r="GJ402" s="8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77"/>
      <c r="GY402" s="77"/>
      <c r="GZ402" s="77"/>
    </row>
    <row r="403" spans="1:208">
      <c r="A403" s="48"/>
      <c r="B403" s="49"/>
      <c r="C403" s="50"/>
      <c r="D403" s="51"/>
      <c r="E403" s="50"/>
      <c r="F403" s="52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90"/>
      <c r="V403" s="91"/>
      <c r="W403" s="92"/>
      <c r="X403" s="92"/>
      <c r="Y403" s="92"/>
      <c r="Z403" s="91"/>
      <c r="AA403" s="93"/>
      <c r="AB403" s="99"/>
      <c r="AC403" s="54"/>
      <c r="AD403" s="54"/>
      <c r="AE403" s="54"/>
      <c r="AF403" s="54"/>
      <c r="AG403" s="54"/>
      <c r="AH403" s="54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113"/>
      <c r="BB403" s="110"/>
      <c r="BC403" s="110"/>
      <c r="BD403" s="110"/>
      <c r="BE403" s="110"/>
      <c r="BF403" s="110"/>
      <c r="BG403" s="110"/>
      <c r="BH403" s="110"/>
      <c r="BI403" s="113"/>
      <c r="BJ403" s="110"/>
      <c r="BK403" s="110"/>
      <c r="BL403" s="110"/>
      <c r="BM403" s="110"/>
      <c r="BN403" s="113"/>
      <c r="BO403" s="110"/>
      <c r="BP403" s="110"/>
      <c r="BQ403" s="110"/>
      <c r="BR403" s="110"/>
      <c r="BS403" s="110"/>
      <c r="BT403" s="110"/>
      <c r="BU403" s="110"/>
      <c r="BV403" s="110"/>
      <c r="BW403" s="110"/>
      <c r="BX403" s="113"/>
      <c r="BY403" s="110"/>
      <c r="BZ403" s="110"/>
      <c r="CA403" s="110"/>
      <c r="CB403" s="110"/>
      <c r="CC403" s="110"/>
      <c r="CD403" s="110"/>
      <c r="CE403" s="110"/>
      <c r="CF403" s="110"/>
      <c r="CG403" s="113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66"/>
      <c r="DA403" s="70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56"/>
      <c r="DR403" s="57"/>
      <c r="DS403" s="58"/>
      <c r="DT403" s="58"/>
      <c r="DU403" s="58"/>
      <c r="DV403" s="58"/>
      <c r="DW403" s="58"/>
      <c r="DX403" s="58"/>
      <c r="DY403" s="58"/>
      <c r="DZ403" s="59"/>
      <c r="EA403" s="60"/>
      <c r="EB403" s="61"/>
      <c r="EC403" s="62"/>
      <c r="ED403" s="2"/>
      <c r="EE403" s="63"/>
      <c r="EF403" s="63"/>
      <c r="EG403" s="63"/>
      <c r="EH403" s="63"/>
      <c r="EI403" s="63"/>
      <c r="EJ403" s="63"/>
      <c r="EK403" s="63"/>
      <c r="EL403" s="63"/>
      <c r="EM403" s="63"/>
      <c r="EN403" s="63"/>
      <c r="EO403" s="63"/>
      <c r="EP403" s="63"/>
      <c r="EQ403" s="63"/>
      <c r="ER403" s="63"/>
      <c r="ES403" s="63"/>
      <c r="ET403" s="63"/>
      <c r="EU403" s="80"/>
      <c r="EV403" s="64"/>
      <c r="EW403" s="64"/>
      <c r="EX403" s="64"/>
      <c r="EY403" s="64"/>
      <c r="EZ403" s="64"/>
      <c r="FA403" s="64"/>
      <c r="FB403" s="64"/>
      <c r="FC403" s="64"/>
      <c r="FD403" s="64"/>
      <c r="FE403" s="64"/>
      <c r="FF403" s="64"/>
      <c r="FG403" s="65"/>
      <c r="FH403" s="84"/>
      <c r="FI403" s="64"/>
      <c r="FJ403" s="8"/>
      <c r="FK403" s="48"/>
      <c r="FL403" s="48"/>
      <c r="FM403" s="48"/>
      <c r="FN403" s="48"/>
      <c r="FO403" s="48"/>
      <c r="FP403" s="48"/>
      <c r="FQ403" s="48"/>
      <c r="FR403" s="48"/>
      <c r="FS403" s="48"/>
      <c r="FT403" s="48"/>
      <c r="FU403" s="48"/>
      <c r="FV403" s="48"/>
      <c r="FW403" s="48"/>
      <c r="FX403" s="48"/>
      <c r="FY403" s="48"/>
      <c r="FZ403" s="48"/>
      <c r="GA403" s="48"/>
      <c r="GB403" s="48"/>
      <c r="GC403" s="48"/>
      <c r="GD403" s="48"/>
      <c r="GE403" s="48"/>
      <c r="GF403" s="48"/>
      <c r="GG403" s="48"/>
      <c r="GH403" s="48"/>
      <c r="GI403" s="48"/>
      <c r="GJ403" s="8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77"/>
      <c r="GY403" s="77"/>
      <c r="GZ403" s="77"/>
    </row>
    <row r="404" spans="1:208">
      <c r="A404" s="48"/>
      <c r="B404" s="49"/>
      <c r="C404" s="50"/>
      <c r="D404" s="51"/>
      <c r="E404" s="50"/>
      <c r="F404" s="52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90"/>
      <c r="V404" s="91"/>
      <c r="W404" s="92"/>
      <c r="X404" s="92"/>
      <c r="Y404" s="92"/>
      <c r="Z404" s="91"/>
      <c r="AA404" s="93"/>
      <c r="AB404" s="99"/>
      <c r="AC404" s="54"/>
      <c r="AD404" s="54"/>
      <c r="AE404" s="54"/>
      <c r="AF404" s="54"/>
      <c r="AG404" s="54"/>
      <c r="AH404" s="54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113"/>
      <c r="BB404" s="110"/>
      <c r="BC404" s="110"/>
      <c r="BD404" s="110"/>
      <c r="BE404" s="110"/>
      <c r="BF404" s="110"/>
      <c r="BG404" s="110"/>
      <c r="BH404" s="110"/>
      <c r="BI404" s="113"/>
      <c r="BJ404" s="110"/>
      <c r="BK404" s="110"/>
      <c r="BL404" s="110"/>
      <c r="BM404" s="110"/>
      <c r="BN404" s="113"/>
      <c r="BO404" s="110"/>
      <c r="BP404" s="110"/>
      <c r="BQ404" s="110"/>
      <c r="BR404" s="110"/>
      <c r="BS404" s="110"/>
      <c r="BT404" s="110"/>
      <c r="BU404" s="110"/>
      <c r="BV404" s="110"/>
      <c r="BW404" s="110"/>
      <c r="BX404" s="113"/>
      <c r="BY404" s="110"/>
      <c r="BZ404" s="110"/>
      <c r="CA404" s="110"/>
      <c r="CB404" s="110"/>
      <c r="CC404" s="110"/>
      <c r="CD404" s="110"/>
      <c r="CE404" s="110"/>
      <c r="CF404" s="110"/>
      <c r="CG404" s="113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66"/>
      <c r="DA404" s="70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56"/>
      <c r="DR404" s="57"/>
      <c r="DS404" s="58"/>
      <c r="DT404" s="58"/>
      <c r="DU404" s="58"/>
      <c r="DV404" s="58"/>
      <c r="DW404" s="58"/>
      <c r="DX404" s="58"/>
      <c r="DY404" s="58"/>
      <c r="DZ404" s="59"/>
      <c r="EA404" s="60"/>
      <c r="EB404" s="61"/>
      <c r="EC404" s="62"/>
      <c r="ED404" s="2"/>
      <c r="EE404" s="63"/>
      <c r="EF404" s="63"/>
      <c r="EG404" s="63"/>
      <c r="EH404" s="63"/>
      <c r="EI404" s="63"/>
      <c r="EJ404" s="63"/>
      <c r="EK404" s="63"/>
      <c r="EL404" s="63"/>
      <c r="EM404" s="63"/>
      <c r="EN404" s="63"/>
      <c r="EO404" s="63"/>
      <c r="EP404" s="63"/>
      <c r="EQ404" s="63"/>
      <c r="ER404" s="63"/>
      <c r="ES404" s="63"/>
      <c r="ET404" s="63"/>
      <c r="EU404" s="80"/>
      <c r="EV404" s="64"/>
      <c r="EW404" s="64"/>
      <c r="EX404" s="64"/>
      <c r="EY404" s="64"/>
      <c r="EZ404" s="64"/>
      <c r="FA404" s="64"/>
      <c r="FB404" s="64"/>
      <c r="FC404" s="64"/>
      <c r="FD404" s="64"/>
      <c r="FE404" s="64"/>
      <c r="FF404" s="64"/>
      <c r="FG404" s="65"/>
      <c r="FH404" s="84"/>
      <c r="FI404" s="64"/>
      <c r="FJ404" s="8"/>
      <c r="FK404" s="48"/>
      <c r="FL404" s="48"/>
      <c r="FM404" s="48"/>
      <c r="FN404" s="48"/>
      <c r="FO404" s="48"/>
      <c r="FP404" s="48"/>
      <c r="FQ404" s="48"/>
      <c r="FR404" s="48"/>
      <c r="FS404" s="48"/>
      <c r="FT404" s="48"/>
      <c r="FU404" s="48"/>
      <c r="FV404" s="48"/>
      <c r="FW404" s="48"/>
      <c r="FX404" s="48"/>
      <c r="FY404" s="48"/>
      <c r="FZ404" s="48"/>
      <c r="GA404" s="48"/>
      <c r="GB404" s="48"/>
      <c r="GC404" s="48"/>
      <c r="GD404" s="48"/>
      <c r="GE404" s="48"/>
      <c r="GF404" s="48"/>
      <c r="GG404" s="48"/>
      <c r="GH404" s="48"/>
      <c r="GI404" s="48"/>
      <c r="GJ404" s="8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77"/>
      <c r="GY404" s="77"/>
      <c r="GZ404" s="77"/>
    </row>
    <row r="405" spans="1:208">
      <c r="A405" s="48"/>
      <c r="B405" s="49"/>
      <c r="C405" s="50"/>
      <c r="D405" s="51"/>
      <c r="E405" s="50"/>
      <c r="F405" s="52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90"/>
      <c r="V405" s="91"/>
      <c r="W405" s="92"/>
      <c r="X405" s="92"/>
      <c r="Y405" s="92"/>
      <c r="Z405" s="91"/>
      <c r="AA405" s="93"/>
      <c r="AB405" s="99"/>
      <c r="AC405" s="54"/>
      <c r="AD405" s="54"/>
      <c r="AE405" s="54"/>
      <c r="AF405" s="54"/>
      <c r="AG405" s="54"/>
      <c r="AH405" s="54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113"/>
      <c r="BB405" s="110"/>
      <c r="BC405" s="110"/>
      <c r="BD405" s="110"/>
      <c r="BE405" s="110"/>
      <c r="BF405" s="110"/>
      <c r="BG405" s="110"/>
      <c r="BH405" s="110"/>
      <c r="BI405" s="113"/>
      <c r="BJ405" s="110"/>
      <c r="BK405" s="110"/>
      <c r="BL405" s="110"/>
      <c r="BM405" s="110"/>
      <c r="BN405" s="113"/>
      <c r="BO405" s="110"/>
      <c r="BP405" s="110"/>
      <c r="BQ405" s="110"/>
      <c r="BR405" s="110"/>
      <c r="BS405" s="110"/>
      <c r="BT405" s="110"/>
      <c r="BU405" s="110"/>
      <c r="BV405" s="110"/>
      <c r="BW405" s="110"/>
      <c r="BX405" s="113"/>
      <c r="BY405" s="110"/>
      <c r="BZ405" s="110"/>
      <c r="CA405" s="110"/>
      <c r="CB405" s="110"/>
      <c r="CC405" s="110"/>
      <c r="CD405" s="110"/>
      <c r="CE405" s="110"/>
      <c r="CF405" s="110"/>
      <c r="CG405" s="113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66"/>
      <c r="DA405" s="70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56"/>
      <c r="DR405" s="57"/>
      <c r="DS405" s="58"/>
      <c r="DT405" s="58"/>
      <c r="DU405" s="58"/>
      <c r="DV405" s="58"/>
      <c r="DW405" s="58"/>
      <c r="DX405" s="58"/>
      <c r="DY405" s="58"/>
      <c r="DZ405" s="59"/>
      <c r="EA405" s="60"/>
      <c r="EB405" s="61"/>
      <c r="EC405" s="62"/>
      <c r="ED405" s="2"/>
      <c r="EE405" s="63"/>
      <c r="EF405" s="63"/>
      <c r="EG405" s="63"/>
      <c r="EH405" s="63"/>
      <c r="EI405" s="63"/>
      <c r="EJ405" s="63"/>
      <c r="EK405" s="63"/>
      <c r="EL405" s="63"/>
      <c r="EM405" s="63"/>
      <c r="EN405" s="63"/>
      <c r="EO405" s="63"/>
      <c r="EP405" s="63"/>
      <c r="EQ405" s="63"/>
      <c r="ER405" s="63"/>
      <c r="ES405" s="63"/>
      <c r="ET405" s="63"/>
      <c r="EU405" s="80"/>
      <c r="EV405" s="64"/>
      <c r="EW405" s="64"/>
      <c r="EX405" s="64"/>
      <c r="EY405" s="64"/>
      <c r="EZ405" s="64"/>
      <c r="FA405" s="64"/>
      <c r="FB405" s="64"/>
      <c r="FC405" s="64"/>
      <c r="FD405" s="64"/>
      <c r="FE405" s="64"/>
      <c r="FF405" s="64"/>
      <c r="FG405" s="65"/>
      <c r="FH405" s="84"/>
      <c r="FI405" s="64"/>
      <c r="FJ405" s="8"/>
      <c r="FK405" s="48"/>
      <c r="FL405" s="48"/>
      <c r="FM405" s="48"/>
      <c r="FN405" s="48"/>
      <c r="FO405" s="48"/>
      <c r="FP405" s="48"/>
      <c r="FQ405" s="48"/>
      <c r="FR405" s="48"/>
      <c r="FS405" s="48"/>
      <c r="FT405" s="48"/>
      <c r="FU405" s="48"/>
      <c r="FV405" s="48"/>
      <c r="FW405" s="48"/>
      <c r="FX405" s="48"/>
      <c r="FY405" s="48"/>
      <c r="FZ405" s="48"/>
      <c r="GA405" s="48"/>
      <c r="GB405" s="48"/>
      <c r="GC405" s="48"/>
      <c r="GD405" s="48"/>
      <c r="GE405" s="48"/>
      <c r="GF405" s="48"/>
      <c r="GG405" s="48"/>
      <c r="GH405" s="48"/>
      <c r="GI405" s="48"/>
      <c r="GJ405" s="8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77"/>
      <c r="GY405" s="77"/>
      <c r="GZ405" s="77"/>
    </row>
    <row r="406" spans="1:208">
      <c r="A406" s="48"/>
      <c r="B406" s="49"/>
      <c r="C406" s="50"/>
      <c r="D406" s="51"/>
      <c r="E406" s="50"/>
      <c r="F406" s="52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90"/>
      <c r="V406" s="91"/>
      <c r="W406" s="92"/>
      <c r="X406" s="92"/>
      <c r="Y406" s="92"/>
      <c r="Z406" s="91"/>
      <c r="AA406" s="93"/>
      <c r="AB406" s="99"/>
      <c r="AC406" s="54"/>
      <c r="AD406" s="54"/>
      <c r="AE406" s="54"/>
      <c r="AF406" s="54"/>
      <c r="AG406" s="54"/>
      <c r="AH406" s="54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113"/>
      <c r="BB406" s="110"/>
      <c r="BC406" s="110"/>
      <c r="BD406" s="110"/>
      <c r="BE406" s="110"/>
      <c r="BF406" s="110"/>
      <c r="BG406" s="110"/>
      <c r="BH406" s="110"/>
      <c r="BI406" s="113"/>
      <c r="BJ406" s="110"/>
      <c r="BK406" s="110"/>
      <c r="BL406" s="110"/>
      <c r="BM406" s="110"/>
      <c r="BN406" s="113"/>
      <c r="BO406" s="110"/>
      <c r="BP406" s="110"/>
      <c r="BQ406" s="110"/>
      <c r="BR406" s="110"/>
      <c r="BS406" s="110"/>
      <c r="BT406" s="110"/>
      <c r="BU406" s="110"/>
      <c r="BV406" s="110"/>
      <c r="BW406" s="110"/>
      <c r="BX406" s="113"/>
      <c r="BY406" s="110"/>
      <c r="BZ406" s="110"/>
      <c r="CA406" s="110"/>
      <c r="CB406" s="110"/>
      <c r="CC406" s="110"/>
      <c r="CD406" s="110"/>
      <c r="CE406" s="110"/>
      <c r="CF406" s="110"/>
      <c r="CG406" s="113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66"/>
      <c r="DA406" s="70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56"/>
      <c r="DR406" s="57"/>
      <c r="DS406" s="58"/>
      <c r="DT406" s="58"/>
      <c r="DU406" s="58"/>
      <c r="DV406" s="58"/>
      <c r="DW406" s="58"/>
      <c r="DX406" s="58"/>
      <c r="DY406" s="58"/>
      <c r="DZ406" s="59"/>
      <c r="EA406" s="60"/>
      <c r="EB406" s="61"/>
      <c r="EC406" s="62"/>
      <c r="ED406" s="2"/>
      <c r="EE406" s="63"/>
      <c r="EF406" s="63"/>
      <c r="EG406" s="63"/>
      <c r="EH406" s="63"/>
      <c r="EI406" s="63"/>
      <c r="EJ406" s="63"/>
      <c r="EK406" s="63"/>
      <c r="EL406" s="63"/>
      <c r="EM406" s="63"/>
      <c r="EN406" s="63"/>
      <c r="EO406" s="63"/>
      <c r="EP406" s="63"/>
      <c r="EQ406" s="63"/>
      <c r="ER406" s="63"/>
      <c r="ES406" s="63"/>
      <c r="ET406" s="63"/>
      <c r="EU406" s="80"/>
      <c r="EV406" s="64"/>
      <c r="EW406" s="64"/>
      <c r="EX406" s="64"/>
      <c r="EY406" s="64"/>
      <c r="EZ406" s="64"/>
      <c r="FA406" s="64"/>
      <c r="FB406" s="64"/>
      <c r="FC406" s="64"/>
      <c r="FD406" s="64"/>
      <c r="FE406" s="64"/>
      <c r="FF406" s="64"/>
      <c r="FG406" s="65"/>
      <c r="FH406" s="84"/>
      <c r="FI406" s="64"/>
      <c r="FJ406" s="8"/>
      <c r="FK406" s="48"/>
      <c r="FL406" s="48"/>
      <c r="FM406" s="48"/>
      <c r="FN406" s="48"/>
      <c r="FO406" s="48"/>
      <c r="FP406" s="48"/>
      <c r="FQ406" s="48"/>
      <c r="FR406" s="48"/>
      <c r="FS406" s="48"/>
      <c r="FT406" s="48"/>
      <c r="FU406" s="48"/>
      <c r="FV406" s="48"/>
      <c r="FW406" s="48"/>
      <c r="FX406" s="48"/>
      <c r="FY406" s="48"/>
      <c r="FZ406" s="48"/>
      <c r="GA406" s="48"/>
      <c r="GB406" s="48"/>
      <c r="GC406" s="48"/>
      <c r="GD406" s="48"/>
      <c r="GE406" s="48"/>
      <c r="GF406" s="48"/>
      <c r="GG406" s="48"/>
      <c r="GH406" s="48"/>
      <c r="GI406" s="48"/>
      <c r="GJ406" s="8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77"/>
      <c r="GY406" s="77"/>
      <c r="GZ406" s="77"/>
    </row>
    <row r="407" spans="1:208">
      <c r="A407" s="48"/>
      <c r="B407" s="49"/>
      <c r="C407" s="50"/>
      <c r="D407" s="51"/>
      <c r="E407" s="50"/>
      <c r="F407" s="52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90"/>
      <c r="V407" s="91"/>
      <c r="W407" s="92"/>
      <c r="X407" s="92"/>
      <c r="Y407" s="92"/>
      <c r="Z407" s="91"/>
      <c r="AA407" s="93"/>
      <c r="AB407" s="99"/>
      <c r="AC407" s="54"/>
      <c r="AD407" s="54"/>
      <c r="AE407" s="54"/>
      <c r="AF407" s="54"/>
      <c r="AG407" s="54"/>
      <c r="AH407" s="54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113"/>
      <c r="BB407" s="110"/>
      <c r="BC407" s="110"/>
      <c r="BD407" s="110"/>
      <c r="BE407" s="110"/>
      <c r="BF407" s="110"/>
      <c r="BG407" s="110"/>
      <c r="BH407" s="110"/>
      <c r="BI407" s="113"/>
      <c r="BJ407" s="110"/>
      <c r="BK407" s="110"/>
      <c r="BL407" s="110"/>
      <c r="BM407" s="110"/>
      <c r="BN407" s="113"/>
      <c r="BO407" s="110"/>
      <c r="BP407" s="110"/>
      <c r="BQ407" s="110"/>
      <c r="BR407" s="110"/>
      <c r="BS407" s="110"/>
      <c r="BT407" s="110"/>
      <c r="BU407" s="110"/>
      <c r="BV407" s="110"/>
      <c r="BW407" s="110"/>
      <c r="BX407" s="113"/>
      <c r="BY407" s="110"/>
      <c r="BZ407" s="110"/>
      <c r="CA407" s="110"/>
      <c r="CB407" s="110"/>
      <c r="CC407" s="110"/>
      <c r="CD407" s="110"/>
      <c r="CE407" s="110"/>
      <c r="CF407" s="110"/>
      <c r="CG407" s="113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66"/>
      <c r="DA407" s="70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56"/>
      <c r="DR407" s="57"/>
      <c r="DS407" s="58"/>
      <c r="DT407" s="58"/>
      <c r="DU407" s="58"/>
      <c r="DV407" s="58"/>
      <c r="DW407" s="58"/>
      <c r="DX407" s="58"/>
      <c r="DY407" s="58"/>
      <c r="DZ407" s="59"/>
      <c r="EA407" s="60"/>
      <c r="EB407" s="61"/>
      <c r="EC407" s="62"/>
      <c r="ED407" s="2"/>
      <c r="EE407" s="63"/>
      <c r="EF407" s="63"/>
      <c r="EG407" s="63"/>
      <c r="EH407" s="63"/>
      <c r="EI407" s="63"/>
      <c r="EJ407" s="63"/>
      <c r="EK407" s="63"/>
      <c r="EL407" s="63"/>
      <c r="EM407" s="63"/>
      <c r="EN407" s="63"/>
      <c r="EO407" s="63"/>
      <c r="EP407" s="63"/>
      <c r="EQ407" s="63"/>
      <c r="ER407" s="63"/>
      <c r="ES407" s="63"/>
      <c r="ET407" s="63"/>
      <c r="EU407" s="80"/>
      <c r="EV407" s="64"/>
      <c r="EW407" s="64"/>
      <c r="EX407" s="64"/>
      <c r="EY407" s="64"/>
      <c r="EZ407" s="64"/>
      <c r="FA407" s="64"/>
      <c r="FB407" s="64"/>
      <c r="FC407" s="64"/>
      <c r="FD407" s="64"/>
      <c r="FE407" s="64"/>
      <c r="FF407" s="64"/>
      <c r="FG407" s="65"/>
      <c r="FH407" s="84"/>
      <c r="FI407" s="64"/>
      <c r="FJ407" s="8"/>
      <c r="FK407" s="48"/>
      <c r="FL407" s="48"/>
      <c r="FM407" s="48"/>
      <c r="FN407" s="48"/>
      <c r="FO407" s="48"/>
      <c r="FP407" s="48"/>
      <c r="FQ407" s="48"/>
      <c r="FR407" s="48"/>
      <c r="FS407" s="48"/>
      <c r="FT407" s="48"/>
      <c r="FU407" s="48"/>
      <c r="FV407" s="48"/>
      <c r="FW407" s="48"/>
      <c r="FX407" s="48"/>
      <c r="FY407" s="48"/>
      <c r="FZ407" s="48"/>
      <c r="GA407" s="48"/>
      <c r="GB407" s="48"/>
      <c r="GC407" s="48"/>
      <c r="GD407" s="48"/>
      <c r="GE407" s="48"/>
      <c r="GF407" s="48"/>
      <c r="GG407" s="48"/>
      <c r="GH407" s="48"/>
      <c r="GI407" s="48"/>
      <c r="GJ407" s="8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77"/>
      <c r="GY407" s="77"/>
      <c r="GZ407" s="77"/>
    </row>
    <row r="408" spans="1:208">
      <c r="A408" s="48"/>
      <c r="B408" s="49"/>
      <c r="C408" s="50"/>
      <c r="D408" s="51"/>
      <c r="E408" s="50"/>
      <c r="F408" s="52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90"/>
      <c r="V408" s="91"/>
      <c r="W408" s="92"/>
      <c r="X408" s="92"/>
      <c r="Y408" s="92"/>
      <c r="Z408" s="91"/>
      <c r="AA408" s="93"/>
      <c r="AB408" s="99"/>
      <c r="AC408" s="54"/>
      <c r="AD408" s="54"/>
      <c r="AE408" s="54"/>
      <c r="AF408" s="54"/>
      <c r="AG408" s="54"/>
      <c r="AH408" s="54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113"/>
      <c r="BB408" s="110"/>
      <c r="BC408" s="110"/>
      <c r="BD408" s="110"/>
      <c r="BE408" s="110"/>
      <c r="BF408" s="110"/>
      <c r="BG408" s="110"/>
      <c r="BH408" s="110"/>
      <c r="BI408" s="113"/>
      <c r="BJ408" s="110"/>
      <c r="BK408" s="110"/>
      <c r="BL408" s="110"/>
      <c r="BM408" s="110"/>
      <c r="BN408" s="113"/>
      <c r="BO408" s="110"/>
      <c r="BP408" s="110"/>
      <c r="BQ408" s="110"/>
      <c r="BR408" s="110"/>
      <c r="BS408" s="110"/>
      <c r="BT408" s="110"/>
      <c r="BU408" s="110"/>
      <c r="BV408" s="110"/>
      <c r="BW408" s="110"/>
      <c r="BX408" s="113"/>
      <c r="BY408" s="110"/>
      <c r="BZ408" s="110"/>
      <c r="CA408" s="110"/>
      <c r="CB408" s="110"/>
      <c r="CC408" s="110"/>
      <c r="CD408" s="110"/>
      <c r="CE408" s="110"/>
      <c r="CF408" s="110"/>
      <c r="CG408" s="113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66"/>
      <c r="DA408" s="70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56"/>
      <c r="DR408" s="57"/>
      <c r="DS408" s="58"/>
      <c r="DT408" s="58"/>
      <c r="DU408" s="58"/>
      <c r="DV408" s="58"/>
      <c r="DW408" s="58"/>
      <c r="DX408" s="58"/>
      <c r="DY408" s="58"/>
      <c r="DZ408" s="59"/>
      <c r="EA408" s="60"/>
      <c r="EB408" s="61"/>
      <c r="EC408" s="62"/>
      <c r="ED408" s="2"/>
      <c r="EE408" s="63"/>
      <c r="EF408" s="63"/>
      <c r="EG408" s="63"/>
      <c r="EH408" s="63"/>
      <c r="EI408" s="63"/>
      <c r="EJ408" s="63"/>
      <c r="EK408" s="63"/>
      <c r="EL408" s="63"/>
      <c r="EM408" s="63"/>
      <c r="EN408" s="63"/>
      <c r="EO408" s="63"/>
      <c r="EP408" s="63"/>
      <c r="EQ408" s="63"/>
      <c r="ER408" s="63"/>
      <c r="ES408" s="63"/>
      <c r="ET408" s="63"/>
      <c r="EU408" s="80"/>
      <c r="EV408" s="64"/>
      <c r="EW408" s="64"/>
      <c r="EX408" s="64"/>
      <c r="EY408" s="64"/>
      <c r="EZ408" s="64"/>
      <c r="FA408" s="64"/>
      <c r="FB408" s="64"/>
      <c r="FC408" s="64"/>
      <c r="FD408" s="64"/>
      <c r="FE408" s="64"/>
      <c r="FF408" s="64"/>
      <c r="FG408" s="65"/>
      <c r="FH408" s="84"/>
      <c r="FI408" s="64"/>
      <c r="FJ408" s="8"/>
      <c r="FK408" s="48"/>
      <c r="FL408" s="48"/>
      <c r="FM408" s="48"/>
      <c r="FN408" s="48"/>
      <c r="FO408" s="48"/>
      <c r="FP408" s="48"/>
      <c r="FQ408" s="48"/>
      <c r="FR408" s="48"/>
      <c r="FS408" s="48"/>
      <c r="FT408" s="48"/>
      <c r="FU408" s="48"/>
      <c r="FV408" s="48"/>
      <c r="FW408" s="48"/>
      <c r="FX408" s="48"/>
      <c r="FY408" s="48"/>
      <c r="FZ408" s="48"/>
      <c r="GA408" s="48"/>
      <c r="GB408" s="48"/>
      <c r="GC408" s="48"/>
      <c r="GD408" s="48"/>
      <c r="GE408" s="48"/>
      <c r="GF408" s="48"/>
      <c r="GG408" s="48"/>
      <c r="GH408" s="48"/>
      <c r="GI408" s="48"/>
      <c r="GJ408" s="8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77"/>
      <c r="GY408" s="77"/>
      <c r="GZ408" s="77"/>
    </row>
    <row r="409" spans="1:208">
      <c r="A409" s="48"/>
      <c r="B409" s="49"/>
      <c r="C409" s="50"/>
      <c r="D409" s="51"/>
      <c r="E409" s="50"/>
      <c r="F409" s="52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90"/>
      <c r="V409" s="91"/>
      <c r="W409" s="92"/>
      <c r="X409" s="92"/>
      <c r="Y409" s="92"/>
      <c r="Z409" s="91"/>
      <c r="AA409" s="93"/>
      <c r="AB409" s="99"/>
      <c r="AC409" s="54"/>
      <c r="AD409" s="54"/>
      <c r="AE409" s="54"/>
      <c r="AF409" s="54"/>
      <c r="AG409" s="54"/>
      <c r="AH409" s="54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113"/>
      <c r="BB409" s="110"/>
      <c r="BC409" s="110"/>
      <c r="BD409" s="110"/>
      <c r="BE409" s="110"/>
      <c r="BF409" s="110"/>
      <c r="BG409" s="110"/>
      <c r="BH409" s="110"/>
      <c r="BI409" s="113"/>
      <c r="BJ409" s="110"/>
      <c r="BK409" s="110"/>
      <c r="BL409" s="110"/>
      <c r="BM409" s="110"/>
      <c r="BN409" s="113"/>
      <c r="BO409" s="110"/>
      <c r="BP409" s="110"/>
      <c r="BQ409" s="110"/>
      <c r="BR409" s="110"/>
      <c r="BS409" s="110"/>
      <c r="BT409" s="110"/>
      <c r="BU409" s="110"/>
      <c r="BV409" s="110"/>
      <c r="BW409" s="110"/>
      <c r="BX409" s="113"/>
      <c r="BY409" s="110"/>
      <c r="BZ409" s="110"/>
      <c r="CA409" s="110"/>
      <c r="CB409" s="110"/>
      <c r="CC409" s="110"/>
      <c r="CD409" s="110"/>
      <c r="CE409" s="110"/>
      <c r="CF409" s="110"/>
      <c r="CG409" s="113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66"/>
      <c r="DA409" s="70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56"/>
      <c r="DR409" s="57"/>
      <c r="DS409" s="58"/>
      <c r="DT409" s="58"/>
      <c r="DU409" s="58"/>
      <c r="DV409" s="58"/>
      <c r="DW409" s="58"/>
      <c r="DX409" s="58"/>
      <c r="DY409" s="58"/>
      <c r="DZ409" s="59"/>
      <c r="EA409" s="60"/>
      <c r="EB409" s="61"/>
      <c r="EC409" s="62"/>
      <c r="ED409" s="2"/>
      <c r="EE409" s="63"/>
      <c r="EF409" s="63"/>
      <c r="EG409" s="63"/>
      <c r="EH409" s="63"/>
      <c r="EI409" s="63"/>
      <c r="EJ409" s="63"/>
      <c r="EK409" s="63"/>
      <c r="EL409" s="63"/>
      <c r="EM409" s="63"/>
      <c r="EN409" s="63"/>
      <c r="EO409" s="63"/>
      <c r="EP409" s="63"/>
      <c r="EQ409" s="63"/>
      <c r="ER409" s="63"/>
      <c r="ES409" s="63"/>
      <c r="ET409" s="63"/>
      <c r="EU409" s="80"/>
      <c r="EV409" s="64"/>
      <c r="EW409" s="64"/>
      <c r="EX409" s="64"/>
      <c r="EY409" s="64"/>
      <c r="EZ409" s="64"/>
      <c r="FA409" s="64"/>
      <c r="FB409" s="64"/>
      <c r="FC409" s="64"/>
      <c r="FD409" s="64"/>
      <c r="FE409" s="64"/>
      <c r="FF409" s="64"/>
      <c r="FG409" s="65"/>
      <c r="FH409" s="84"/>
      <c r="FI409" s="64"/>
      <c r="FJ409" s="8"/>
      <c r="FK409" s="48"/>
      <c r="FL409" s="48"/>
      <c r="FM409" s="48"/>
      <c r="FN409" s="48"/>
      <c r="FO409" s="48"/>
      <c r="FP409" s="48"/>
      <c r="FQ409" s="48"/>
      <c r="FR409" s="48"/>
      <c r="FS409" s="48"/>
      <c r="FT409" s="48"/>
      <c r="FU409" s="48"/>
      <c r="FV409" s="48"/>
      <c r="FW409" s="48"/>
      <c r="FX409" s="48"/>
      <c r="FY409" s="48"/>
      <c r="FZ409" s="48"/>
      <c r="GA409" s="48"/>
      <c r="GB409" s="48"/>
      <c r="GC409" s="48"/>
      <c r="GD409" s="48"/>
      <c r="GE409" s="48"/>
      <c r="GF409" s="48"/>
      <c r="GG409" s="48"/>
      <c r="GH409" s="48"/>
      <c r="GI409" s="48"/>
      <c r="GJ409" s="8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77"/>
      <c r="GY409" s="77"/>
      <c r="GZ409" s="77"/>
    </row>
    <row r="410" spans="1:208">
      <c r="A410" s="48"/>
      <c r="B410" s="49"/>
      <c r="C410" s="50"/>
      <c r="D410" s="51"/>
      <c r="E410" s="50"/>
      <c r="F410" s="52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90"/>
      <c r="V410" s="91"/>
      <c r="W410" s="92"/>
      <c r="X410" s="92"/>
      <c r="Y410" s="92"/>
      <c r="Z410" s="91"/>
      <c r="AA410" s="93"/>
      <c r="AB410" s="99"/>
      <c r="AC410" s="54"/>
      <c r="AD410" s="54"/>
      <c r="AE410" s="54"/>
      <c r="AF410" s="54"/>
      <c r="AG410" s="54"/>
      <c r="AH410" s="54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113"/>
      <c r="BB410" s="110"/>
      <c r="BC410" s="110"/>
      <c r="BD410" s="110"/>
      <c r="BE410" s="110"/>
      <c r="BF410" s="110"/>
      <c r="BG410" s="110"/>
      <c r="BH410" s="110"/>
      <c r="BI410" s="113"/>
      <c r="BJ410" s="110"/>
      <c r="BK410" s="110"/>
      <c r="BL410" s="110"/>
      <c r="BM410" s="110"/>
      <c r="BN410" s="113"/>
      <c r="BO410" s="110"/>
      <c r="BP410" s="110"/>
      <c r="BQ410" s="110"/>
      <c r="BR410" s="110"/>
      <c r="BS410" s="110"/>
      <c r="BT410" s="110"/>
      <c r="BU410" s="110"/>
      <c r="BV410" s="110"/>
      <c r="BW410" s="110"/>
      <c r="BX410" s="113"/>
      <c r="BY410" s="110"/>
      <c r="BZ410" s="110"/>
      <c r="CA410" s="110"/>
      <c r="CB410" s="110"/>
      <c r="CC410" s="110"/>
      <c r="CD410" s="110"/>
      <c r="CE410" s="110"/>
      <c r="CF410" s="110"/>
      <c r="CG410" s="113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66"/>
      <c r="DA410" s="70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56"/>
      <c r="DR410" s="57"/>
      <c r="DS410" s="58"/>
      <c r="DT410" s="58"/>
      <c r="DU410" s="58"/>
      <c r="DV410" s="58"/>
      <c r="DW410" s="58"/>
      <c r="DX410" s="58"/>
      <c r="DY410" s="58"/>
      <c r="DZ410" s="59"/>
      <c r="EA410" s="60"/>
      <c r="EB410" s="61"/>
      <c r="EC410" s="62"/>
      <c r="ED410" s="2"/>
      <c r="EE410" s="63"/>
      <c r="EF410" s="63"/>
      <c r="EG410" s="63"/>
      <c r="EH410" s="63"/>
      <c r="EI410" s="63"/>
      <c r="EJ410" s="63"/>
      <c r="EK410" s="63"/>
      <c r="EL410" s="63"/>
      <c r="EM410" s="63"/>
      <c r="EN410" s="63"/>
      <c r="EO410" s="63"/>
      <c r="EP410" s="63"/>
      <c r="EQ410" s="63"/>
      <c r="ER410" s="63"/>
      <c r="ES410" s="63"/>
      <c r="ET410" s="63"/>
      <c r="EU410" s="80"/>
      <c r="EV410" s="64"/>
      <c r="EW410" s="64"/>
      <c r="EX410" s="64"/>
      <c r="EY410" s="64"/>
      <c r="EZ410" s="64"/>
      <c r="FA410" s="64"/>
      <c r="FB410" s="64"/>
      <c r="FC410" s="64"/>
      <c r="FD410" s="64"/>
      <c r="FE410" s="64"/>
      <c r="FF410" s="64"/>
      <c r="FG410" s="65"/>
      <c r="FH410" s="84"/>
      <c r="FI410" s="64"/>
      <c r="FJ410" s="8"/>
      <c r="FK410" s="48"/>
      <c r="FL410" s="48"/>
      <c r="FM410" s="48"/>
      <c r="FN410" s="48"/>
      <c r="FO410" s="48"/>
      <c r="FP410" s="48"/>
      <c r="FQ410" s="48"/>
      <c r="FR410" s="48"/>
      <c r="FS410" s="48"/>
      <c r="FT410" s="48"/>
      <c r="FU410" s="48"/>
      <c r="FV410" s="48"/>
      <c r="FW410" s="48"/>
      <c r="FX410" s="48"/>
      <c r="FY410" s="48"/>
      <c r="FZ410" s="48"/>
      <c r="GA410" s="48"/>
      <c r="GB410" s="48"/>
      <c r="GC410" s="48"/>
      <c r="GD410" s="48"/>
      <c r="GE410" s="48"/>
      <c r="GF410" s="48"/>
      <c r="GG410" s="48"/>
      <c r="GH410" s="48"/>
      <c r="GI410" s="48"/>
      <c r="GJ410" s="8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77"/>
      <c r="GY410" s="77"/>
      <c r="GZ410" s="77"/>
    </row>
    <row r="411" spans="1:208">
      <c r="A411" s="48"/>
      <c r="B411" s="49"/>
      <c r="C411" s="50"/>
      <c r="D411" s="51"/>
      <c r="E411" s="50"/>
      <c r="F411" s="52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90"/>
      <c r="V411" s="91"/>
      <c r="W411" s="92"/>
      <c r="X411" s="92"/>
      <c r="Y411" s="92"/>
      <c r="Z411" s="91"/>
      <c r="AA411" s="93"/>
      <c r="AB411" s="99"/>
      <c r="AC411" s="54"/>
      <c r="AD411" s="54"/>
      <c r="AE411" s="54"/>
      <c r="AF411" s="54"/>
      <c r="AG411" s="54"/>
      <c r="AH411" s="54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113"/>
      <c r="BB411" s="110"/>
      <c r="BC411" s="110"/>
      <c r="BD411" s="110"/>
      <c r="BE411" s="110"/>
      <c r="BF411" s="110"/>
      <c r="BG411" s="110"/>
      <c r="BH411" s="110"/>
      <c r="BI411" s="113"/>
      <c r="BJ411" s="110"/>
      <c r="BK411" s="110"/>
      <c r="BL411" s="110"/>
      <c r="BM411" s="110"/>
      <c r="BN411" s="113"/>
      <c r="BO411" s="110"/>
      <c r="BP411" s="110"/>
      <c r="BQ411" s="110"/>
      <c r="BR411" s="110"/>
      <c r="BS411" s="110"/>
      <c r="BT411" s="110"/>
      <c r="BU411" s="110"/>
      <c r="BV411" s="110"/>
      <c r="BW411" s="110"/>
      <c r="BX411" s="113"/>
      <c r="BY411" s="110"/>
      <c r="BZ411" s="110"/>
      <c r="CA411" s="110"/>
      <c r="CB411" s="110"/>
      <c r="CC411" s="110"/>
      <c r="CD411" s="110"/>
      <c r="CE411" s="110"/>
      <c r="CF411" s="110"/>
      <c r="CG411" s="113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66"/>
      <c r="DA411" s="70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56"/>
      <c r="DR411" s="57"/>
      <c r="DS411" s="58"/>
      <c r="DT411" s="58"/>
      <c r="DU411" s="58"/>
      <c r="DV411" s="58"/>
      <c r="DW411" s="58"/>
      <c r="DX411" s="58"/>
      <c r="DY411" s="58"/>
      <c r="DZ411" s="59"/>
      <c r="EA411" s="60"/>
      <c r="EB411" s="61"/>
      <c r="EC411" s="62"/>
      <c r="ED411" s="2"/>
      <c r="EE411" s="63"/>
      <c r="EF411" s="63"/>
      <c r="EG411" s="63"/>
      <c r="EH411" s="63"/>
      <c r="EI411" s="63"/>
      <c r="EJ411" s="63"/>
      <c r="EK411" s="63"/>
      <c r="EL411" s="63"/>
      <c r="EM411" s="63"/>
      <c r="EN411" s="63"/>
      <c r="EO411" s="63"/>
      <c r="EP411" s="63"/>
      <c r="EQ411" s="63"/>
      <c r="ER411" s="63"/>
      <c r="ES411" s="63"/>
      <c r="ET411" s="63"/>
      <c r="EU411" s="80"/>
      <c r="EV411" s="64"/>
      <c r="EW411" s="64"/>
      <c r="EX411" s="64"/>
      <c r="EY411" s="64"/>
      <c r="EZ411" s="64"/>
      <c r="FA411" s="64"/>
      <c r="FB411" s="64"/>
      <c r="FC411" s="64"/>
      <c r="FD411" s="64"/>
      <c r="FE411" s="64"/>
      <c r="FF411" s="64"/>
      <c r="FG411" s="65"/>
      <c r="FH411" s="84"/>
      <c r="FI411" s="64"/>
      <c r="FJ411" s="8"/>
      <c r="FK411" s="48"/>
      <c r="FL411" s="48"/>
      <c r="FM411" s="48"/>
      <c r="FN411" s="48"/>
      <c r="FO411" s="48"/>
      <c r="FP411" s="48"/>
      <c r="FQ411" s="48"/>
      <c r="FR411" s="48"/>
      <c r="FS411" s="48"/>
      <c r="FT411" s="48"/>
      <c r="FU411" s="48"/>
      <c r="FV411" s="48"/>
      <c r="FW411" s="48"/>
      <c r="FX411" s="48"/>
      <c r="FY411" s="48"/>
      <c r="FZ411" s="48"/>
      <c r="GA411" s="48"/>
      <c r="GB411" s="48"/>
      <c r="GC411" s="48"/>
      <c r="GD411" s="48"/>
      <c r="GE411" s="48"/>
      <c r="GF411" s="48"/>
      <c r="GG411" s="48"/>
      <c r="GH411" s="48"/>
      <c r="GI411" s="48"/>
      <c r="GJ411" s="8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77"/>
      <c r="GY411" s="77"/>
      <c r="GZ411" s="77"/>
    </row>
    <row r="412" spans="1:208">
      <c r="A412" s="48"/>
      <c r="B412" s="49"/>
      <c r="C412" s="50"/>
      <c r="D412" s="51"/>
      <c r="E412" s="50"/>
      <c r="F412" s="52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90"/>
      <c r="V412" s="91"/>
      <c r="W412" s="92"/>
      <c r="X412" s="92"/>
      <c r="Y412" s="92"/>
      <c r="Z412" s="91"/>
      <c r="AA412" s="93"/>
      <c r="AB412" s="99"/>
      <c r="AC412" s="54"/>
      <c r="AD412" s="54"/>
      <c r="AE412" s="54"/>
      <c r="AF412" s="54"/>
      <c r="AG412" s="54"/>
      <c r="AH412" s="54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113"/>
      <c r="BB412" s="110"/>
      <c r="BC412" s="110"/>
      <c r="BD412" s="110"/>
      <c r="BE412" s="110"/>
      <c r="BF412" s="110"/>
      <c r="BG412" s="110"/>
      <c r="BH412" s="110"/>
      <c r="BI412" s="113"/>
      <c r="BJ412" s="110"/>
      <c r="BK412" s="110"/>
      <c r="BL412" s="110"/>
      <c r="BM412" s="110"/>
      <c r="BN412" s="113"/>
      <c r="BO412" s="110"/>
      <c r="BP412" s="110"/>
      <c r="BQ412" s="110"/>
      <c r="BR412" s="110"/>
      <c r="BS412" s="110"/>
      <c r="BT412" s="110"/>
      <c r="BU412" s="110"/>
      <c r="BV412" s="110"/>
      <c r="BW412" s="110"/>
      <c r="BX412" s="113"/>
      <c r="BY412" s="110"/>
      <c r="BZ412" s="110"/>
      <c r="CA412" s="110"/>
      <c r="CB412" s="110"/>
      <c r="CC412" s="110"/>
      <c r="CD412" s="110"/>
      <c r="CE412" s="110"/>
      <c r="CF412" s="110"/>
      <c r="CG412" s="113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66"/>
      <c r="DA412" s="70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56"/>
      <c r="DR412" s="57"/>
      <c r="DS412" s="58"/>
      <c r="DT412" s="58"/>
      <c r="DU412" s="58"/>
      <c r="DV412" s="58"/>
      <c r="DW412" s="58"/>
      <c r="DX412" s="58"/>
      <c r="DY412" s="58"/>
      <c r="DZ412" s="59"/>
      <c r="EA412" s="60"/>
      <c r="EB412" s="61"/>
      <c r="EC412" s="62"/>
      <c r="ED412" s="2"/>
      <c r="EE412" s="63"/>
      <c r="EF412" s="63"/>
      <c r="EG412" s="63"/>
      <c r="EH412" s="63"/>
      <c r="EI412" s="63"/>
      <c r="EJ412" s="63"/>
      <c r="EK412" s="63"/>
      <c r="EL412" s="63"/>
      <c r="EM412" s="63"/>
      <c r="EN412" s="63"/>
      <c r="EO412" s="63"/>
      <c r="EP412" s="63"/>
      <c r="EQ412" s="63"/>
      <c r="ER412" s="63"/>
      <c r="ES412" s="63"/>
      <c r="ET412" s="63"/>
      <c r="EU412" s="80"/>
      <c r="EV412" s="64"/>
      <c r="EW412" s="64"/>
      <c r="EX412" s="64"/>
      <c r="EY412" s="64"/>
      <c r="EZ412" s="64"/>
      <c r="FA412" s="64"/>
      <c r="FB412" s="64"/>
      <c r="FC412" s="64"/>
      <c r="FD412" s="64"/>
      <c r="FE412" s="64"/>
      <c r="FF412" s="64"/>
      <c r="FG412" s="65"/>
      <c r="FH412" s="84"/>
      <c r="FI412" s="64"/>
      <c r="FJ412" s="8"/>
      <c r="FK412" s="48"/>
      <c r="FL412" s="48"/>
      <c r="FM412" s="48"/>
      <c r="FN412" s="48"/>
      <c r="FO412" s="48"/>
      <c r="FP412" s="48"/>
      <c r="FQ412" s="48"/>
      <c r="FR412" s="48"/>
      <c r="FS412" s="48"/>
      <c r="FT412" s="48"/>
      <c r="FU412" s="48"/>
      <c r="FV412" s="48"/>
      <c r="FW412" s="48"/>
      <c r="FX412" s="48"/>
      <c r="FY412" s="48"/>
      <c r="FZ412" s="48"/>
      <c r="GA412" s="48"/>
      <c r="GB412" s="48"/>
      <c r="GC412" s="48"/>
      <c r="GD412" s="48"/>
      <c r="GE412" s="48"/>
      <c r="GF412" s="48"/>
      <c r="GG412" s="48"/>
      <c r="GH412" s="48"/>
      <c r="GI412" s="48"/>
      <c r="GJ412" s="8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77"/>
      <c r="GY412" s="77"/>
      <c r="GZ412" s="77"/>
    </row>
    <row r="413" spans="1:208">
      <c r="A413" s="48"/>
      <c r="B413" s="49"/>
      <c r="C413" s="50"/>
      <c r="D413" s="51"/>
      <c r="E413" s="50"/>
      <c r="F413" s="52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90"/>
      <c r="V413" s="91"/>
      <c r="W413" s="92"/>
      <c r="X413" s="92"/>
      <c r="Y413" s="92"/>
      <c r="Z413" s="91"/>
      <c r="AA413" s="93"/>
      <c r="AB413" s="99"/>
      <c r="AC413" s="54"/>
      <c r="AD413" s="54"/>
      <c r="AE413" s="54"/>
      <c r="AF413" s="54"/>
      <c r="AG413" s="54"/>
      <c r="AH413" s="54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113"/>
      <c r="BB413" s="110"/>
      <c r="BC413" s="110"/>
      <c r="BD413" s="110"/>
      <c r="BE413" s="110"/>
      <c r="BF413" s="110"/>
      <c r="BG413" s="110"/>
      <c r="BH413" s="110"/>
      <c r="BI413" s="113"/>
      <c r="BJ413" s="110"/>
      <c r="BK413" s="110"/>
      <c r="BL413" s="110"/>
      <c r="BM413" s="110"/>
      <c r="BN413" s="113"/>
      <c r="BO413" s="110"/>
      <c r="BP413" s="110"/>
      <c r="BQ413" s="110"/>
      <c r="BR413" s="110"/>
      <c r="BS413" s="110"/>
      <c r="BT413" s="110"/>
      <c r="BU413" s="110"/>
      <c r="BV413" s="110"/>
      <c r="BW413" s="110"/>
      <c r="BX413" s="113"/>
      <c r="BY413" s="110"/>
      <c r="BZ413" s="110"/>
      <c r="CA413" s="110"/>
      <c r="CB413" s="110"/>
      <c r="CC413" s="110"/>
      <c r="CD413" s="110"/>
      <c r="CE413" s="110"/>
      <c r="CF413" s="110"/>
      <c r="CG413" s="113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66"/>
      <c r="DA413" s="70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56"/>
      <c r="DR413" s="57"/>
      <c r="DS413" s="58"/>
      <c r="DT413" s="58"/>
      <c r="DU413" s="58"/>
      <c r="DV413" s="58"/>
      <c r="DW413" s="58"/>
      <c r="DX413" s="58"/>
      <c r="DY413" s="58"/>
      <c r="DZ413" s="59"/>
      <c r="EA413" s="60"/>
      <c r="EB413" s="61"/>
      <c r="EC413" s="62"/>
      <c r="ED413" s="2"/>
      <c r="EE413" s="63"/>
      <c r="EF413" s="63"/>
      <c r="EG413" s="63"/>
      <c r="EH413" s="63"/>
      <c r="EI413" s="63"/>
      <c r="EJ413" s="63"/>
      <c r="EK413" s="63"/>
      <c r="EL413" s="63"/>
      <c r="EM413" s="63"/>
      <c r="EN413" s="63"/>
      <c r="EO413" s="63"/>
      <c r="EP413" s="63"/>
      <c r="EQ413" s="63"/>
      <c r="ER413" s="63"/>
      <c r="ES413" s="63"/>
      <c r="ET413" s="63"/>
      <c r="EU413" s="80"/>
      <c r="EV413" s="64"/>
      <c r="EW413" s="64"/>
      <c r="EX413" s="64"/>
      <c r="EY413" s="64"/>
      <c r="EZ413" s="64"/>
      <c r="FA413" s="64"/>
      <c r="FB413" s="64"/>
      <c r="FC413" s="64"/>
      <c r="FD413" s="64"/>
      <c r="FE413" s="64"/>
      <c r="FF413" s="64"/>
      <c r="FG413" s="65"/>
      <c r="FH413" s="84"/>
      <c r="FI413" s="64"/>
      <c r="FJ413" s="8"/>
      <c r="FK413" s="48"/>
      <c r="FL413" s="48"/>
      <c r="FM413" s="48"/>
      <c r="FN413" s="48"/>
      <c r="FO413" s="48"/>
      <c r="FP413" s="48"/>
      <c r="FQ413" s="48"/>
      <c r="FR413" s="48"/>
      <c r="FS413" s="48"/>
      <c r="FT413" s="48"/>
      <c r="FU413" s="48"/>
      <c r="FV413" s="48"/>
      <c r="FW413" s="48"/>
      <c r="FX413" s="48"/>
      <c r="FY413" s="48"/>
      <c r="FZ413" s="48"/>
      <c r="GA413" s="48"/>
      <c r="GB413" s="48"/>
      <c r="GC413" s="48"/>
      <c r="GD413" s="48"/>
      <c r="GE413" s="48"/>
      <c r="GF413" s="48"/>
      <c r="GG413" s="48"/>
      <c r="GH413" s="48"/>
      <c r="GI413" s="48"/>
      <c r="GJ413" s="8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77"/>
      <c r="GY413" s="77"/>
      <c r="GZ413" s="77"/>
    </row>
    <row r="414" spans="1:208">
      <c r="A414" s="48"/>
      <c r="B414" s="49"/>
      <c r="C414" s="50"/>
      <c r="D414" s="51"/>
      <c r="E414" s="50"/>
      <c r="F414" s="52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90"/>
      <c r="V414" s="91"/>
      <c r="W414" s="92"/>
      <c r="X414" s="92"/>
      <c r="Y414" s="92"/>
      <c r="Z414" s="91"/>
      <c r="AA414" s="93"/>
      <c r="AB414" s="99"/>
      <c r="AC414" s="54"/>
      <c r="AD414" s="54"/>
      <c r="AE414" s="54"/>
      <c r="AF414" s="54"/>
      <c r="AG414" s="54"/>
      <c r="AH414" s="54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113"/>
      <c r="BB414" s="110"/>
      <c r="BC414" s="110"/>
      <c r="BD414" s="110"/>
      <c r="BE414" s="110"/>
      <c r="BF414" s="110"/>
      <c r="BG414" s="110"/>
      <c r="BH414" s="110"/>
      <c r="BI414" s="113"/>
      <c r="BJ414" s="110"/>
      <c r="BK414" s="110"/>
      <c r="BL414" s="110"/>
      <c r="BM414" s="110"/>
      <c r="BN414" s="113"/>
      <c r="BO414" s="110"/>
      <c r="BP414" s="110"/>
      <c r="BQ414" s="110"/>
      <c r="BR414" s="110"/>
      <c r="BS414" s="110"/>
      <c r="BT414" s="110"/>
      <c r="BU414" s="110"/>
      <c r="BV414" s="110"/>
      <c r="BW414" s="110"/>
      <c r="BX414" s="113"/>
      <c r="BY414" s="110"/>
      <c r="BZ414" s="110"/>
      <c r="CA414" s="110"/>
      <c r="CB414" s="110"/>
      <c r="CC414" s="110"/>
      <c r="CD414" s="110"/>
      <c r="CE414" s="110"/>
      <c r="CF414" s="110"/>
      <c r="CG414" s="113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66"/>
      <c r="DA414" s="70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56"/>
      <c r="DR414" s="57"/>
      <c r="DS414" s="58"/>
      <c r="DT414" s="58"/>
      <c r="DU414" s="58"/>
      <c r="DV414" s="58"/>
      <c r="DW414" s="58"/>
      <c r="DX414" s="58"/>
      <c r="DY414" s="58"/>
      <c r="DZ414" s="59"/>
      <c r="EA414" s="60"/>
      <c r="EB414" s="61"/>
      <c r="EC414" s="62"/>
      <c r="ED414" s="2"/>
      <c r="EE414" s="63"/>
      <c r="EF414" s="63"/>
      <c r="EG414" s="63"/>
      <c r="EH414" s="63"/>
      <c r="EI414" s="63"/>
      <c r="EJ414" s="63"/>
      <c r="EK414" s="63"/>
      <c r="EL414" s="63"/>
      <c r="EM414" s="63"/>
      <c r="EN414" s="63"/>
      <c r="EO414" s="63"/>
      <c r="EP414" s="63"/>
      <c r="EQ414" s="63"/>
      <c r="ER414" s="63"/>
      <c r="ES414" s="63"/>
      <c r="ET414" s="63"/>
      <c r="EU414" s="80"/>
      <c r="EV414" s="64"/>
      <c r="EW414" s="64"/>
      <c r="EX414" s="64"/>
      <c r="EY414" s="64"/>
      <c r="EZ414" s="64"/>
      <c r="FA414" s="64"/>
      <c r="FB414" s="64"/>
      <c r="FC414" s="64"/>
      <c r="FD414" s="64"/>
      <c r="FE414" s="64"/>
      <c r="FF414" s="64"/>
      <c r="FG414" s="65"/>
      <c r="FH414" s="84"/>
      <c r="FI414" s="64"/>
      <c r="FJ414" s="8"/>
      <c r="FK414" s="48"/>
      <c r="FL414" s="48"/>
      <c r="FM414" s="48"/>
      <c r="FN414" s="48"/>
      <c r="FO414" s="48"/>
      <c r="FP414" s="48"/>
      <c r="FQ414" s="48"/>
      <c r="FR414" s="48"/>
      <c r="FS414" s="48"/>
      <c r="FT414" s="48"/>
      <c r="FU414" s="48"/>
      <c r="FV414" s="48"/>
      <c r="FW414" s="48"/>
      <c r="FX414" s="48"/>
      <c r="FY414" s="48"/>
      <c r="FZ414" s="48"/>
      <c r="GA414" s="48"/>
      <c r="GB414" s="48"/>
      <c r="GC414" s="48"/>
      <c r="GD414" s="48"/>
      <c r="GE414" s="48"/>
      <c r="GF414" s="48"/>
      <c r="GG414" s="48"/>
      <c r="GH414" s="48"/>
      <c r="GI414" s="48"/>
      <c r="GJ414" s="8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77"/>
      <c r="GY414" s="77"/>
      <c r="GZ414" s="77"/>
    </row>
    <row r="415" spans="1:208">
      <c r="A415" s="48"/>
      <c r="B415" s="49"/>
      <c r="C415" s="50"/>
      <c r="D415" s="51"/>
      <c r="E415" s="50"/>
      <c r="F415" s="52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90"/>
      <c r="V415" s="91"/>
      <c r="W415" s="92"/>
      <c r="X415" s="92"/>
      <c r="Y415" s="92"/>
      <c r="Z415" s="91"/>
      <c r="AA415" s="93"/>
      <c r="AB415" s="99"/>
      <c r="AC415" s="54"/>
      <c r="AD415" s="54"/>
      <c r="AE415" s="54"/>
      <c r="AF415" s="54"/>
      <c r="AG415" s="54"/>
      <c r="AH415" s="54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113"/>
      <c r="BB415" s="110"/>
      <c r="BC415" s="110"/>
      <c r="BD415" s="110"/>
      <c r="BE415" s="110"/>
      <c r="BF415" s="110"/>
      <c r="BG415" s="110"/>
      <c r="BH415" s="110"/>
      <c r="BI415" s="113"/>
      <c r="BJ415" s="110"/>
      <c r="BK415" s="110"/>
      <c r="BL415" s="110"/>
      <c r="BM415" s="110"/>
      <c r="BN415" s="113"/>
      <c r="BO415" s="110"/>
      <c r="BP415" s="110"/>
      <c r="BQ415" s="110"/>
      <c r="BR415" s="110"/>
      <c r="BS415" s="110"/>
      <c r="BT415" s="110"/>
      <c r="BU415" s="110"/>
      <c r="BV415" s="110"/>
      <c r="BW415" s="110"/>
      <c r="BX415" s="113"/>
      <c r="BY415" s="110"/>
      <c r="BZ415" s="110"/>
      <c r="CA415" s="110"/>
      <c r="CB415" s="110"/>
      <c r="CC415" s="110"/>
      <c r="CD415" s="110"/>
      <c r="CE415" s="110"/>
      <c r="CF415" s="110"/>
      <c r="CG415" s="113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66"/>
      <c r="DA415" s="70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56"/>
      <c r="DR415" s="57"/>
      <c r="DS415" s="58"/>
      <c r="DT415" s="58"/>
      <c r="DU415" s="58"/>
      <c r="DV415" s="58"/>
      <c r="DW415" s="58"/>
      <c r="DX415" s="58"/>
      <c r="DY415" s="58"/>
      <c r="DZ415" s="59"/>
      <c r="EA415" s="60"/>
      <c r="EB415" s="61"/>
      <c r="EC415" s="62"/>
      <c r="ED415" s="2"/>
      <c r="EE415" s="63"/>
      <c r="EF415" s="63"/>
      <c r="EG415" s="63"/>
      <c r="EH415" s="63"/>
      <c r="EI415" s="63"/>
      <c r="EJ415" s="63"/>
      <c r="EK415" s="63"/>
      <c r="EL415" s="63"/>
      <c r="EM415" s="63"/>
      <c r="EN415" s="63"/>
      <c r="EO415" s="63"/>
      <c r="EP415" s="63"/>
      <c r="EQ415" s="63"/>
      <c r="ER415" s="63"/>
      <c r="ES415" s="63"/>
      <c r="ET415" s="63"/>
      <c r="EU415" s="80"/>
      <c r="EV415" s="64"/>
      <c r="EW415" s="64"/>
      <c r="EX415" s="64"/>
      <c r="EY415" s="64"/>
      <c r="EZ415" s="64"/>
      <c r="FA415" s="64"/>
      <c r="FB415" s="64"/>
      <c r="FC415" s="64"/>
      <c r="FD415" s="64"/>
      <c r="FE415" s="64"/>
      <c r="FF415" s="64"/>
      <c r="FG415" s="65"/>
      <c r="FH415" s="84"/>
      <c r="FI415" s="64"/>
      <c r="FJ415" s="8"/>
      <c r="FK415" s="48"/>
      <c r="FL415" s="48"/>
      <c r="FM415" s="48"/>
      <c r="FN415" s="48"/>
      <c r="FO415" s="48"/>
      <c r="FP415" s="48"/>
      <c r="FQ415" s="48"/>
      <c r="FR415" s="48"/>
      <c r="FS415" s="48"/>
      <c r="FT415" s="48"/>
      <c r="FU415" s="48"/>
      <c r="FV415" s="48"/>
      <c r="FW415" s="48"/>
      <c r="FX415" s="48"/>
      <c r="FY415" s="48"/>
      <c r="FZ415" s="48"/>
      <c r="GA415" s="48"/>
      <c r="GB415" s="48"/>
      <c r="GC415" s="48"/>
      <c r="GD415" s="48"/>
      <c r="GE415" s="48"/>
      <c r="GF415" s="48"/>
      <c r="GG415" s="48"/>
      <c r="GH415" s="48"/>
      <c r="GI415" s="48"/>
      <c r="GJ415" s="8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77"/>
      <c r="GY415" s="77"/>
      <c r="GZ415" s="77"/>
    </row>
    <row r="416" spans="1:208">
      <c r="A416" s="48"/>
      <c r="B416" s="49"/>
      <c r="C416" s="50"/>
      <c r="D416" s="51"/>
      <c r="E416" s="50"/>
      <c r="F416" s="52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90"/>
      <c r="V416" s="91"/>
      <c r="W416" s="92"/>
      <c r="X416" s="92"/>
      <c r="Y416" s="92"/>
      <c r="Z416" s="91"/>
      <c r="AA416" s="93"/>
      <c r="AB416" s="99"/>
      <c r="AC416" s="54"/>
      <c r="AD416" s="54"/>
      <c r="AE416" s="54"/>
      <c r="AF416" s="54"/>
      <c r="AG416" s="54"/>
      <c r="AH416" s="54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113"/>
      <c r="BB416" s="110"/>
      <c r="BC416" s="110"/>
      <c r="BD416" s="110"/>
      <c r="BE416" s="110"/>
      <c r="BF416" s="110"/>
      <c r="BG416" s="110"/>
      <c r="BH416" s="110"/>
      <c r="BI416" s="113"/>
      <c r="BJ416" s="110"/>
      <c r="BK416" s="110"/>
      <c r="BL416" s="110"/>
      <c r="BM416" s="110"/>
      <c r="BN416" s="113"/>
      <c r="BO416" s="110"/>
      <c r="BP416" s="110"/>
      <c r="BQ416" s="110"/>
      <c r="BR416" s="110"/>
      <c r="BS416" s="110"/>
      <c r="BT416" s="110"/>
      <c r="BU416" s="110"/>
      <c r="BV416" s="110"/>
      <c r="BW416" s="110"/>
      <c r="BX416" s="113"/>
      <c r="BY416" s="110"/>
      <c r="BZ416" s="110"/>
      <c r="CA416" s="110"/>
      <c r="CB416" s="110"/>
      <c r="CC416" s="110"/>
      <c r="CD416" s="110"/>
      <c r="CE416" s="110"/>
      <c r="CF416" s="110"/>
      <c r="CG416" s="113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66"/>
      <c r="DA416" s="70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56"/>
      <c r="DR416" s="57"/>
      <c r="DS416" s="58"/>
      <c r="DT416" s="58"/>
      <c r="DU416" s="58"/>
      <c r="DV416" s="58"/>
      <c r="DW416" s="58"/>
      <c r="DX416" s="58"/>
      <c r="DY416" s="58"/>
      <c r="DZ416" s="59"/>
      <c r="EA416" s="60"/>
      <c r="EB416" s="61"/>
      <c r="EC416" s="62"/>
      <c r="ED416" s="2"/>
      <c r="EE416" s="63"/>
      <c r="EF416" s="63"/>
      <c r="EG416" s="63"/>
      <c r="EH416" s="63"/>
      <c r="EI416" s="63"/>
      <c r="EJ416" s="63"/>
      <c r="EK416" s="63"/>
      <c r="EL416" s="63"/>
      <c r="EM416" s="63"/>
      <c r="EN416" s="63"/>
      <c r="EO416" s="63"/>
      <c r="EP416" s="63"/>
      <c r="EQ416" s="63"/>
      <c r="ER416" s="63"/>
      <c r="ES416" s="63"/>
      <c r="ET416" s="63"/>
      <c r="EU416" s="80"/>
      <c r="EV416" s="64"/>
      <c r="EW416" s="64"/>
      <c r="EX416" s="64"/>
      <c r="EY416" s="64"/>
      <c r="EZ416" s="64"/>
      <c r="FA416" s="64"/>
      <c r="FB416" s="64"/>
      <c r="FC416" s="64"/>
      <c r="FD416" s="64"/>
      <c r="FE416" s="64"/>
      <c r="FF416" s="64"/>
      <c r="FG416" s="65"/>
      <c r="FH416" s="84"/>
      <c r="FI416" s="64"/>
      <c r="FJ416" s="8"/>
      <c r="FK416" s="48"/>
      <c r="FL416" s="48"/>
      <c r="FM416" s="48"/>
      <c r="FN416" s="48"/>
      <c r="FO416" s="48"/>
      <c r="FP416" s="48"/>
      <c r="FQ416" s="48"/>
      <c r="FR416" s="48"/>
      <c r="FS416" s="48"/>
      <c r="FT416" s="48"/>
      <c r="FU416" s="48"/>
      <c r="FV416" s="48"/>
      <c r="FW416" s="48"/>
      <c r="FX416" s="48"/>
      <c r="FY416" s="48"/>
      <c r="FZ416" s="48"/>
      <c r="GA416" s="48"/>
      <c r="GB416" s="48"/>
      <c r="GC416" s="48"/>
      <c r="GD416" s="48"/>
      <c r="GE416" s="48"/>
      <c r="GF416" s="48"/>
      <c r="GG416" s="48"/>
      <c r="GH416" s="48"/>
      <c r="GI416" s="48"/>
      <c r="GJ416" s="8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77"/>
      <c r="GY416" s="77"/>
      <c r="GZ416" s="77"/>
    </row>
    <row r="417" spans="1:208">
      <c r="A417" s="48"/>
      <c r="B417" s="49"/>
      <c r="C417" s="50"/>
      <c r="D417" s="51"/>
      <c r="E417" s="50"/>
      <c r="F417" s="52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90"/>
      <c r="V417" s="91"/>
      <c r="W417" s="92"/>
      <c r="X417" s="92"/>
      <c r="Y417" s="92"/>
      <c r="Z417" s="91"/>
      <c r="AA417" s="93"/>
      <c r="AB417" s="99"/>
      <c r="AC417" s="54"/>
      <c r="AD417" s="54"/>
      <c r="AE417" s="54"/>
      <c r="AF417" s="54"/>
      <c r="AG417" s="54"/>
      <c r="AH417" s="54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113"/>
      <c r="BB417" s="110"/>
      <c r="BC417" s="110"/>
      <c r="BD417" s="110"/>
      <c r="BE417" s="110"/>
      <c r="BF417" s="110"/>
      <c r="BG417" s="110"/>
      <c r="BH417" s="110"/>
      <c r="BI417" s="113"/>
      <c r="BJ417" s="110"/>
      <c r="BK417" s="110"/>
      <c r="BL417" s="110"/>
      <c r="BM417" s="110"/>
      <c r="BN417" s="113"/>
      <c r="BO417" s="110"/>
      <c r="BP417" s="110"/>
      <c r="BQ417" s="110"/>
      <c r="BR417" s="110"/>
      <c r="BS417" s="110"/>
      <c r="BT417" s="110"/>
      <c r="BU417" s="110"/>
      <c r="BV417" s="110"/>
      <c r="BW417" s="110"/>
      <c r="BX417" s="113"/>
      <c r="BY417" s="110"/>
      <c r="BZ417" s="110"/>
      <c r="CA417" s="110"/>
      <c r="CB417" s="110"/>
      <c r="CC417" s="110"/>
      <c r="CD417" s="110"/>
      <c r="CE417" s="110"/>
      <c r="CF417" s="110"/>
      <c r="CG417" s="113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66"/>
      <c r="DA417" s="70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56"/>
      <c r="DR417" s="57"/>
      <c r="DS417" s="58"/>
      <c r="DT417" s="58"/>
      <c r="DU417" s="58"/>
      <c r="DV417" s="58"/>
      <c r="DW417" s="58"/>
      <c r="DX417" s="58"/>
      <c r="DY417" s="58"/>
      <c r="DZ417" s="59"/>
      <c r="EA417" s="60"/>
      <c r="EB417" s="61"/>
      <c r="EC417" s="62"/>
      <c r="ED417" s="2"/>
      <c r="EE417" s="63"/>
      <c r="EF417" s="63"/>
      <c r="EG417" s="63"/>
      <c r="EH417" s="63"/>
      <c r="EI417" s="63"/>
      <c r="EJ417" s="63"/>
      <c r="EK417" s="63"/>
      <c r="EL417" s="63"/>
      <c r="EM417" s="63"/>
      <c r="EN417" s="63"/>
      <c r="EO417" s="63"/>
      <c r="EP417" s="63"/>
      <c r="EQ417" s="63"/>
      <c r="ER417" s="63"/>
      <c r="ES417" s="63"/>
      <c r="ET417" s="63"/>
      <c r="EU417" s="80"/>
      <c r="EV417" s="64"/>
      <c r="EW417" s="64"/>
      <c r="EX417" s="64"/>
      <c r="EY417" s="64"/>
      <c r="EZ417" s="64"/>
      <c r="FA417" s="64"/>
      <c r="FB417" s="64"/>
      <c r="FC417" s="64"/>
      <c r="FD417" s="64"/>
      <c r="FE417" s="64"/>
      <c r="FF417" s="64"/>
      <c r="FG417" s="65"/>
      <c r="FH417" s="84"/>
      <c r="FI417" s="64"/>
      <c r="FJ417" s="8"/>
      <c r="FK417" s="48"/>
      <c r="FL417" s="48"/>
      <c r="FM417" s="48"/>
      <c r="FN417" s="48"/>
      <c r="FO417" s="48"/>
      <c r="FP417" s="48"/>
      <c r="FQ417" s="48"/>
      <c r="FR417" s="48"/>
      <c r="FS417" s="48"/>
      <c r="FT417" s="48"/>
      <c r="FU417" s="48"/>
      <c r="FV417" s="48"/>
      <c r="FW417" s="48"/>
      <c r="FX417" s="48"/>
      <c r="FY417" s="48"/>
      <c r="FZ417" s="48"/>
      <c r="GA417" s="48"/>
      <c r="GB417" s="48"/>
      <c r="GC417" s="48"/>
      <c r="GD417" s="48"/>
      <c r="GE417" s="48"/>
      <c r="GF417" s="48"/>
      <c r="GG417" s="48"/>
      <c r="GH417" s="48"/>
      <c r="GI417" s="48"/>
      <c r="GJ417" s="8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77"/>
      <c r="GY417" s="77"/>
      <c r="GZ417" s="77"/>
    </row>
    <row r="418" spans="1:208">
      <c r="A418" s="48"/>
      <c r="B418" s="49"/>
      <c r="C418" s="50"/>
      <c r="D418" s="51"/>
      <c r="E418" s="50"/>
      <c r="F418" s="52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90"/>
      <c r="V418" s="91"/>
      <c r="W418" s="92"/>
      <c r="X418" s="92"/>
      <c r="Y418" s="92"/>
      <c r="Z418" s="91"/>
      <c r="AA418" s="93"/>
      <c r="AB418" s="99"/>
      <c r="AC418" s="54"/>
      <c r="AD418" s="54"/>
      <c r="AE418" s="54"/>
      <c r="AF418" s="54"/>
      <c r="AG418" s="54"/>
      <c r="AH418" s="54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113"/>
      <c r="BB418" s="110"/>
      <c r="BC418" s="110"/>
      <c r="BD418" s="110"/>
      <c r="BE418" s="110"/>
      <c r="BF418" s="110"/>
      <c r="BG418" s="110"/>
      <c r="BH418" s="110"/>
      <c r="BI418" s="113"/>
      <c r="BJ418" s="110"/>
      <c r="BK418" s="110"/>
      <c r="BL418" s="110"/>
      <c r="BM418" s="110"/>
      <c r="BN418" s="113"/>
      <c r="BO418" s="110"/>
      <c r="BP418" s="110"/>
      <c r="BQ418" s="110"/>
      <c r="BR418" s="110"/>
      <c r="BS418" s="110"/>
      <c r="BT418" s="110"/>
      <c r="BU418" s="110"/>
      <c r="BV418" s="110"/>
      <c r="BW418" s="110"/>
      <c r="BX418" s="113"/>
      <c r="BY418" s="110"/>
      <c r="BZ418" s="110"/>
      <c r="CA418" s="110"/>
      <c r="CB418" s="110"/>
      <c r="CC418" s="110"/>
      <c r="CD418" s="110"/>
      <c r="CE418" s="110"/>
      <c r="CF418" s="110"/>
      <c r="CG418" s="113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66"/>
      <c r="DA418" s="70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56"/>
      <c r="DR418" s="57"/>
      <c r="DS418" s="58"/>
      <c r="DT418" s="58"/>
      <c r="DU418" s="58"/>
      <c r="DV418" s="58"/>
      <c r="DW418" s="58"/>
      <c r="DX418" s="58"/>
      <c r="DY418" s="58"/>
      <c r="DZ418" s="59"/>
      <c r="EA418" s="60"/>
      <c r="EB418" s="61"/>
      <c r="EC418" s="62"/>
      <c r="ED418" s="2"/>
      <c r="EE418" s="63"/>
      <c r="EF418" s="63"/>
      <c r="EG418" s="63"/>
      <c r="EH418" s="63"/>
      <c r="EI418" s="63"/>
      <c r="EJ418" s="63"/>
      <c r="EK418" s="63"/>
      <c r="EL418" s="63"/>
      <c r="EM418" s="63"/>
      <c r="EN418" s="63"/>
      <c r="EO418" s="63"/>
      <c r="EP418" s="63"/>
      <c r="EQ418" s="63"/>
      <c r="ER418" s="63"/>
      <c r="ES418" s="63"/>
      <c r="ET418" s="63"/>
      <c r="EU418" s="80"/>
      <c r="EV418" s="64"/>
      <c r="EW418" s="64"/>
      <c r="EX418" s="64"/>
      <c r="EY418" s="64"/>
      <c r="EZ418" s="64"/>
      <c r="FA418" s="64"/>
      <c r="FB418" s="64"/>
      <c r="FC418" s="64"/>
      <c r="FD418" s="64"/>
      <c r="FE418" s="64"/>
      <c r="FF418" s="64"/>
      <c r="FG418" s="65"/>
      <c r="FH418" s="84"/>
      <c r="FI418" s="64"/>
      <c r="FJ418" s="8"/>
      <c r="FK418" s="48"/>
      <c r="FL418" s="48"/>
      <c r="FM418" s="48"/>
      <c r="FN418" s="48"/>
      <c r="FO418" s="48"/>
      <c r="FP418" s="48"/>
      <c r="FQ418" s="48"/>
      <c r="FR418" s="48"/>
      <c r="FS418" s="48"/>
      <c r="FT418" s="48"/>
      <c r="FU418" s="48"/>
      <c r="FV418" s="48"/>
      <c r="FW418" s="48"/>
      <c r="FX418" s="48"/>
      <c r="FY418" s="48"/>
      <c r="FZ418" s="48"/>
      <c r="GA418" s="48"/>
      <c r="GB418" s="48"/>
      <c r="GC418" s="48"/>
      <c r="GD418" s="48"/>
      <c r="GE418" s="48"/>
      <c r="GF418" s="48"/>
      <c r="GG418" s="48"/>
      <c r="GH418" s="48"/>
      <c r="GI418" s="48"/>
      <c r="GJ418" s="8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77"/>
      <c r="GY418" s="77"/>
      <c r="GZ418" s="77"/>
    </row>
    <row r="419" spans="1:208">
      <c r="A419" s="48"/>
      <c r="B419" s="49"/>
      <c r="C419" s="50"/>
      <c r="D419" s="51"/>
      <c r="E419" s="50"/>
      <c r="F419" s="52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90"/>
      <c r="V419" s="91"/>
      <c r="W419" s="92"/>
      <c r="X419" s="92"/>
      <c r="Y419" s="92"/>
      <c r="Z419" s="91"/>
      <c r="AA419" s="93"/>
      <c r="AB419" s="99"/>
      <c r="AC419" s="54"/>
      <c r="AD419" s="54"/>
      <c r="AE419" s="54"/>
      <c r="AF419" s="54"/>
      <c r="AG419" s="54"/>
      <c r="AH419" s="54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113"/>
      <c r="BB419" s="110"/>
      <c r="BC419" s="110"/>
      <c r="BD419" s="110"/>
      <c r="BE419" s="110"/>
      <c r="BF419" s="110"/>
      <c r="BG419" s="110"/>
      <c r="BH419" s="110"/>
      <c r="BI419" s="113"/>
      <c r="BJ419" s="110"/>
      <c r="BK419" s="110"/>
      <c r="BL419" s="110"/>
      <c r="BM419" s="110"/>
      <c r="BN419" s="113"/>
      <c r="BO419" s="110"/>
      <c r="BP419" s="110"/>
      <c r="BQ419" s="110"/>
      <c r="BR419" s="110"/>
      <c r="BS419" s="110"/>
      <c r="BT419" s="110"/>
      <c r="BU419" s="110"/>
      <c r="BV419" s="110"/>
      <c r="BW419" s="110"/>
      <c r="BX419" s="113"/>
      <c r="BY419" s="110"/>
      <c r="BZ419" s="110"/>
      <c r="CA419" s="110"/>
      <c r="CB419" s="110"/>
      <c r="CC419" s="110"/>
      <c r="CD419" s="110"/>
      <c r="CE419" s="110"/>
      <c r="CF419" s="110"/>
      <c r="CG419" s="113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66"/>
      <c r="DA419" s="70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56"/>
      <c r="DR419" s="57"/>
      <c r="DS419" s="58"/>
      <c r="DT419" s="58"/>
      <c r="DU419" s="58"/>
      <c r="DV419" s="58"/>
      <c r="DW419" s="58"/>
      <c r="DX419" s="58"/>
      <c r="DY419" s="58"/>
      <c r="DZ419" s="59"/>
      <c r="EA419" s="60"/>
      <c r="EB419" s="61"/>
      <c r="EC419" s="62"/>
      <c r="ED419" s="2"/>
      <c r="EE419" s="63"/>
      <c r="EF419" s="63"/>
      <c r="EG419" s="63"/>
      <c r="EH419" s="63"/>
      <c r="EI419" s="63"/>
      <c r="EJ419" s="63"/>
      <c r="EK419" s="63"/>
      <c r="EL419" s="63"/>
      <c r="EM419" s="63"/>
      <c r="EN419" s="63"/>
      <c r="EO419" s="63"/>
      <c r="EP419" s="63"/>
      <c r="EQ419" s="63"/>
      <c r="ER419" s="63"/>
      <c r="ES419" s="63"/>
      <c r="ET419" s="63"/>
      <c r="EU419" s="80"/>
      <c r="EV419" s="64"/>
      <c r="EW419" s="64"/>
      <c r="EX419" s="64"/>
      <c r="EY419" s="64"/>
      <c r="EZ419" s="64"/>
      <c r="FA419" s="64"/>
      <c r="FB419" s="64"/>
      <c r="FC419" s="64"/>
      <c r="FD419" s="64"/>
      <c r="FE419" s="64"/>
      <c r="FF419" s="64"/>
      <c r="FG419" s="65"/>
      <c r="FH419" s="84"/>
      <c r="FI419" s="64"/>
      <c r="FJ419" s="8"/>
      <c r="FK419" s="48"/>
      <c r="FL419" s="48"/>
      <c r="FM419" s="48"/>
      <c r="FN419" s="48"/>
      <c r="FO419" s="48"/>
      <c r="FP419" s="48"/>
      <c r="FQ419" s="48"/>
      <c r="FR419" s="48"/>
      <c r="FS419" s="48"/>
      <c r="FT419" s="48"/>
      <c r="FU419" s="48"/>
      <c r="FV419" s="48"/>
      <c r="FW419" s="48"/>
      <c r="FX419" s="48"/>
      <c r="FY419" s="48"/>
      <c r="FZ419" s="48"/>
      <c r="GA419" s="48"/>
      <c r="GB419" s="48"/>
      <c r="GC419" s="48"/>
      <c r="GD419" s="48"/>
      <c r="GE419" s="48"/>
      <c r="GF419" s="48"/>
      <c r="GG419" s="48"/>
      <c r="GH419" s="48"/>
      <c r="GI419" s="48"/>
      <c r="GJ419" s="8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77"/>
      <c r="GY419" s="77"/>
      <c r="GZ419" s="77"/>
    </row>
    <row r="420" spans="1:208">
      <c r="A420" s="48"/>
      <c r="B420" s="49"/>
      <c r="C420" s="50"/>
      <c r="D420" s="51"/>
      <c r="E420" s="50"/>
      <c r="F420" s="52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90"/>
      <c r="V420" s="91"/>
      <c r="W420" s="92"/>
      <c r="X420" s="92"/>
      <c r="Y420" s="92"/>
      <c r="Z420" s="91"/>
      <c r="AA420" s="93"/>
      <c r="AB420" s="99"/>
      <c r="AC420" s="54"/>
      <c r="AD420" s="54"/>
      <c r="AE420" s="54"/>
      <c r="AF420" s="54"/>
      <c r="AG420" s="54"/>
      <c r="AH420" s="54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113"/>
      <c r="BB420" s="110"/>
      <c r="BC420" s="110"/>
      <c r="BD420" s="110"/>
      <c r="BE420" s="110"/>
      <c r="BF420" s="110"/>
      <c r="BG420" s="110"/>
      <c r="BH420" s="110"/>
      <c r="BI420" s="113"/>
      <c r="BJ420" s="110"/>
      <c r="BK420" s="110"/>
      <c r="BL420" s="110"/>
      <c r="BM420" s="110"/>
      <c r="BN420" s="113"/>
      <c r="BO420" s="110"/>
      <c r="BP420" s="110"/>
      <c r="BQ420" s="110"/>
      <c r="BR420" s="110"/>
      <c r="BS420" s="110"/>
      <c r="BT420" s="110"/>
      <c r="BU420" s="110"/>
      <c r="BV420" s="110"/>
      <c r="BW420" s="110"/>
      <c r="BX420" s="113"/>
      <c r="BY420" s="110"/>
      <c r="BZ420" s="110"/>
      <c r="CA420" s="110"/>
      <c r="CB420" s="110"/>
      <c r="CC420" s="110"/>
      <c r="CD420" s="110"/>
      <c r="CE420" s="110"/>
      <c r="CF420" s="110"/>
      <c r="CG420" s="113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66"/>
      <c r="DA420" s="70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56"/>
      <c r="DR420" s="57"/>
      <c r="DS420" s="58"/>
      <c r="DT420" s="58"/>
      <c r="DU420" s="58"/>
      <c r="DV420" s="58"/>
      <c r="DW420" s="58"/>
      <c r="DX420" s="58"/>
      <c r="DY420" s="58"/>
      <c r="DZ420" s="59"/>
      <c r="EA420" s="60"/>
      <c r="EB420" s="61"/>
      <c r="EC420" s="62"/>
      <c r="ED420" s="2"/>
      <c r="EE420" s="63"/>
      <c r="EF420" s="63"/>
      <c r="EG420" s="63"/>
      <c r="EH420" s="63"/>
      <c r="EI420" s="63"/>
      <c r="EJ420" s="63"/>
      <c r="EK420" s="63"/>
      <c r="EL420" s="63"/>
      <c r="EM420" s="63"/>
      <c r="EN420" s="63"/>
      <c r="EO420" s="63"/>
      <c r="EP420" s="63"/>
      <c r="EQ420" s="63"/>
      <c r="ER420" s="63"/>
      <c r="ES420" s="63"/>
      <c r="ET420" s="63"/>
      <c r="EU420" s="80"/>
      <c r="EV420" s="64"/>
      <c r="EW420" s="64"/>
      <c r="EX420" s="64"/>
      <c r="EY420" s="64"/>
      <c r="EZ420" s="64"/>
      <c r="FA420" s="64"/>
      <c r="FB420" s="64"/>
      <c r="FC420" s="64"/>
      <c r="FD420" s="64"/>
      <c r="FE420" s="64"/>
      <c r="FF420" s="64"/>
      <c r="FG420" s="65"/>
      <c r="FH420" s="84"/>
      <c r="FI420" s="64"/>
      <c r="FJ420" s="8"/>
      <c r="FK420" s="48"/>
      <c r="FL420" s="48"/>
      <c r="FM420" s="48"/>
      <c r="FN420" s="48"/>
      <c r="FO420" s="48"/>
      <c r="FP420" s="48"/>
      <c r="FQ420" s="48"/>
      <c r="FR420" s="48"/>
      <c r="FS420" s="48"/>
      <c r="FT420" s="48"/>
      <c r="FU420" s="48"/>
      <c r="FV420" s="48"/>
      <c r="FW420" s="48"/>
      <c r="FX420" s="48"/>
      <c r="FY420" s="48"/>
      <c r="FZ420" s="48"/>
      <c r="GA420" s="48"/>
      <c r="GB420" s="48"/>
      <c r="GC420" s="48"/>
      <c r="GD420" s="48"/>
      <c r="GE420" s="48"/>
      <c r="GF420" s="48"/>
      <c r="GG420" s="48"/>
      <c r="GH420" s="48"/>
      <c r="GI420" s="48"/>
      <c r="GJ420" s="8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77"/>
      <c r="GY420" s="77"/>
      <c r="GZ420" s="77"/>
    </row>
    <row r="421" spans="1:208">
      <c r="A421" s="48"/>
      <c r="B421" s="49"/>
      <c r="C421" s="50"/>
      <c r="D421" s="51"/>
      <c r="E421" s="50"/>
      <c r="F421" s="52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90"/>
      <c r="V421" s="91"/>
      <c r="W421" s="92"/>
      <c r="X421" s="92"/>
      <c r="Y421" s="92"/>
      <c r="Z421" s="91"/>
      <c r="AA421" s="93"/>
      <c r="AB421" s="99"/>
      <c r="AC421" s="54"/>
      <c r="AD421" s="54"/>
      <c r="AE421" s="54"/>
      <c r="AF421" s="54"/>
      <c r="AG421" s="54"/>
      <c r="AH421" s="54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113"/>
      <c r="BB421" s="110"/>
      <c r="BC421" s="110"/>
      <c r="BD421" s="110"/>
      <c r="BE421" s="110"/>
      <c r="BF421" s="110"/>
      <c r="BG421" s="110"/>
      <c r="BH421" s="110"/>
      <c r="BI421" s="113"/>
      <c r="BJ421" s="110"/>
      <c r="BK421" s="110"/>
      <c r="BL421" s="110"/>
      <c r="BM421" s="110"/>
      <c r="BN421" s="113"/>
      <c r="BO421" s="110"/>
      <c r="BP421" s="110"/>
      <c r="BQ421" s="110"/>
      <c r="BR421" s="110"/>
      <c r="BS421" s="110"/>
      <c r="BT421" s="110"/>
      <c r="BU421" s="110"/>
      <c r="BV421" s="110"/>
      <c r="BW421" s="110"/>
      <c r="BX421" s="113"/>
      <c r="BY421" s="110"/>
      <c r="BZ421" s="110"/>
      <c r="CA421" s="110"/>
      <c r="CB421" s="110"/>
      <c r="CC421" s="110"/>
      <c r="CD421" s="110"/>
      <c r="CE421" s="110"/>
      <c r="CF421" s="110"/>
      <c r="CG421" s="113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66"/>
      <c r="DA421" s="70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56"/>
      <c r="DR421" s="57"/>
      <c r="DS421" s="58"/>
      <c r="DT421" s="58"/>
      <c r="DU421" s="58"/>
      <c r="DV421" s="58"/>
      <c r="DW421" s="58"/>
      <c r="DX421" s="58"/>
      <c r="DY421" s="58"/>
      <c r="DZ421" s="59"/>
      <c r="EA421" s="60"/>
      <c r="EB421" s="61"/>
      <c r="EC421" s="62"/>
      <c r="ED421" s="2"/>
      <c r="EE421" s="63"/>
      <c r="EF421" s="63"/>
      <c r="EG421" s="63"/>
      <c r="EH421" s="63"/>
      <c r="EI421" s="63"/>
      <c r="EJ421" s="63"/>
      <c r="EK421" s="63"/>
      <c r="EL421" s="63"/>
      <c r="EM421" s="63"/>
      <c r="EN421" s="63"/>
      <c r="EO421" s="63"/>
      <c r="EP421" s="63"/>
      <c r="EQ421" s="63"/>
      <c r="ER421" s="63"/>
      <c r="ES421" s="63"/>
      <c r="ET421" s="63"/>
      <c r="EU421" s="80"/>
      <c r="EV421" s="64"/>
      <c r="EW421" s="64"/>
      <c r="EX421" s="64"/>
      <c r="EY421" s="64"/>
      <c r="EZ421" s="64"/>
      <c r="FA421" s="64"/>
      <c r="FB421" s="64"/>
      <c r="FC421" s="64"/>
      <c r="FD421" s="64"/>
      <c r="FE421" s="64"/>
      <c r="FF421" s="64"/>
      <c r="FG421" s="65"/>
      <c r="FH421" s="84"/>
      <c r="FI421" s="64"/>
      <c r="FJ421" s="8"/>
      <c r="FK421" s="48"/>
      <c r="FL421" s="48"/>
      <c r="FM421" s="48"/>
      <c r="FN421" s="48"/>
      <c r="FO421" s="48"/>
      <c r="FP421" s="48"/>
      <c r="FQ421" s="48"/>
      <c r="FR421" s="48"/>
      <c r="FS421" s="48"/>
      <c r="FT421" s="48"/>
      <c r="FU421" s="48"/>
      <c r="FV421" s="48"/>
      <c r="FW421" s="48"/>
      <c r="FX421" s="48"/>
      <c r="FY421" s="48"/>
      <c r="FZ421" s="48"/>
      <c r="GA421" s="48"/>
      <c r="GB421" s="48"/>
      <c r="GC421" s="48"/>
      <c r="GD421" s="48"/>
      <c r="GE421" s="48"/>
      <c r="GF421" s="48"/>
      <c r="GG421" s="48"/>
      <c r="GH421" s="48"/>
      <c r="GI421" s="48"/>
      <c r="GJ421" s="8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77"/>
      <c r="GY421" s="77"/>
      <c r="GZ421" s="77"/>
    </row>
    <row r="422" spans="1:208">
      <c r="A422" s="48"/>
      <c r="B422" s="49"/>
      <c r="C422" s="50"/>
      <c r="D422" s="51"/>
      <c r="E422" s="50"/>
      <c r="F422" s="52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90"/>
      <c r="V422" s="91"/>
      <c r="W422" s="92"/>
      <c r="X422" s="92"/>
      <c r="Y422" s="92"/>
      <c r="Z422" s="91"/>
      <c r="AA422" s="93"/>
      <c r="AB422" s="99"/>
      <c r="AC422" s="54"/>
      <c r="AD422" s="54"/>
      <c r="AE422" s="54"/>
      <c r="AF422" s="54"/>
      <c r="AG422" s="54"/>
      <c r="AH422" s="54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113"/>
      <c r="BB422" s="110"/>
      <c r="BC422" s="110"/>
      <c r="BD422" s="110"/>
      <c r="BE422" s="110"/>
      <c r="BF422" s="110"/>
      <c r="BG422" s="110"/>
      <c r="BH422" s="110"/>
      <c r="BI422" s="113"/>
      <c r="BJ422" s="110"/>
      <c r="BK422" s="110"/>
      <c r="BL422" s="110"/>
      <c r="BM422" s="110"/>
      <c r="BN422" s="113"/>
      <c r="BO422" s="110"/>
      <c r="BP422" s="110"/>
      <c r="BQ422" s="110"/>
      <c r="BR422" s="110"/>
      <c r="BS422" s="110"/>
      <c r="BT422" s="110"/>
      <c r="BU422" s="110"/>
      <c r="BV422" s="110"/>
      <c r="BW422" s="110"/>
      <c r="BX422" s="113"/>
      <c r="BY422" s="110"/>
      <c r="BZ422" s="110"/>
      <c r="CA422" s="110"/>
      <c r="CB422" s="110"/>
      <c r="CC422" s="110"/>
      <c r="CD422" s="110"/>
      <c r="CE422" s="110"/>
      <c r="CF422" s="110"/>
      <c r="CG422" s="113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66"/>
      <c r="DA422" s="70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56"/>
      <c r="DR422" s="57"/>
      <c r="DS422" s="58"/>
      <c r="DT422" s="58"/>
      <c r="DU422" s="58"/>
      <c r="DV422" s="58"/>
      <c r="DW422" s="58"/>
      <c r="DX422" s="58"/>
      <c r="DY422" s="58"/>
      <c r="DZ422" s="59"/>
      <c r="EA422" s="60"/>
      <c r="EB422" s="61"/>
      <c r="EC422" s="62"/>
      <c r="ED422" s="2"/>
      <c r="EE422" s="63"/>
      <c r="EF422" s="63"/>
      <c r="EG422" s="63"/>
      <c r="EH422" s="63"/>
      <c r="EI422" s="63"/>
      <c r="EJ422" s="63"/>
      <c r="EK422" s="63"/>
      <c r="EL422" s="63"/>
      <c r="EM422" s="63"/>
      <c r="EN422" s="63"/>
      <c r="EO422" s="63"/>
      <c r="EP422" s="63"/>
      <c r="EQ422" s="63"/>
      <c r="ER422" s="63"/>
      <c r="ES422" s="63"/>
      <c r="ET422" s="63"/>
      <c r="EU422" s="80"/>
      <c r="EV422" s="64"/>
      <c r="EW422" s="64"/>
      <c r="EX422" s="64"/>
      <c r="EY422" s="64"/>
      <c r="EZ422" s="64"/>
      <c r="FA422" s="64"/>
      <c r="FB422" s="64"/>
      <c r="FC422" s="64"/>
      <c r="FD422" s="64"/>
      <c r="FE422" s="64"/>
      <c r="FF422" s="64"/>
      <c r="FG422" s="65"/>
      <c r="FH422" s="84"/>
      <c r="FI422" s="64"/>
      <c r="FJ422" s="8"/>
      <c r="FK422" s="48"/>
      <c r="FL422" s="48"/>
      <c r="FM422" s="48"/>
      <c r="FN422" s="48"/>
      <c r="FO422" s="48"/>
      <c r="FP422" s="48"/>
      <c r="FQ422" s="48"/>
      <c r="FR422" s="48"/>
      <c r="FS422" s="48"/>
      <c r="FT422" s="48"/>
      <c r="FU422" s="48"/>
      <c r="FV422" s="48"/>
      <c r="FW422" s="48"/>
      <c r="FX422" s="48"/>
      <c r="FY422" s="48"/>
      <c r="FZ422" s="48"/>
      <c r="GA422" s="48"/>
      <c r="GB422" s="48"/>
      <c r="GC422" s="48"/>
      <c r="GD422" s="48"/>
      <c r="GE422" s="48"/>
      <c r="GF422" s="48"/>
      <c r="GG422" s="48"/>
      <c r="GH422" s="48"/>
      <c r="GI422" s="48"/>
      <c r="GJ422" s="8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77"/>
      <c r="GY422" s="77"/>
      <c r="GZ422" s="77"/>
    </row>
    <row r="423" spans="1:208">
      <c r="A423" s="48"/>
      <c r="B423" s="49"/>
      <c r="C423" s="50"/>
      <c r="D423" s="51"/>
      <c r="E423" s="50"/>
      <c r="F423" s="52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90"/>
      <c r="V423" s="91"/>
      <c r="W423" s="92"/>
      <c r="X423" s="92"/>
      <c r="Y423" s="92"/>
      <c r="Z423" s="91"/>
      <c r="AA423" s="93"/>
      <c r="AB423" s="99"/>
      <c r="AC423" s="54"/>
      <c r="AD423" s="54"/>
      <c r="AE423" s="54"/>
      <c r="AF423" s="54"/>
      <c r="AG423" s="54"/>
      <c r="AH423" s="54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113"/>
      <c r="BB423" s="110"/>
      <c r="BC423" s="110"/>
      <c r="BD423" s="110"/>
      <c r="BE423" s="110"/>
      <c r="BF423" s="110"/>
      <c r="BG423" s="110"/>
      <c r="BH423" s="110"/>
      <c r="BI423" s="113"/>
      <c r="BJ423" s="110"/>
      <c r="BK423" s="110"/>
      <c r="BL423" s="110"/>
      <c r="BM423" s="110"/>
      <c r="BN423" s="113"/>
      <c r="BO423" s="110"/>
      <c r="BP423" s="110"/>
      <c r="BQ423" s="110"/>
      <c r="BR423" s="110"/>
      <c r="BS423" s="110"/>
      <c r="BT423" s="110"/>
      <c r="BU423" s="110"/>
      <c r="BV423" s="110"/>
      <c r="BW423" s="110"/>
      <c r="BX423" s="113"/>
      <c r="BY423" s="110"/>
      <c r="BZ423" s="110"/>
      <c r="CA423" s="110"/>
      <c r="CB423" s="110"/>
      <c r="CC423" s="110"/>
      <c r="CD423" s="110"/>
      <c r="CE423" s="110"/>
      <c r="CF423" s="110"/>
      <c r="CG423" s="113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66"/>
      <c r="DA423" s="70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56"/>
      <c r="DR423" s="57"/>
      <c r="DS423" s="58"/>
      <c r="DT423" s="58"/>
      <c r="DU423" s="58"/>
      <c r="DV423" s="58"/>
      <c r="DW423" s="58"/>
      <c r="DX423" s="58"/>
      <c r="DY423" s="58"/>
      <c r="DZ423" s="59"/>
      <c r="EA423" s="60"/>
      <c r="EB423" s="61"/>
      <c r="EC423" s="62"/>
      <c r="ED423" s="2"/>
      <c r="EE423" s="63"/>
      <c r="EF423" s="63"/>
      <c r="EG423" s="63"/>
      <c r="EH423" s="63"/>
      <c r="EI423" s="63"/>
      <c r="EJ423" s="63"/>
      <c r="EK423" s="63"/>
      <c r="EL423" s="63"/>
      <c r="EM423" s="63"/>
      <c r="EN423" s="63"/>
      <c r="EO423" s="63"/>
      <c r="EP423" s="63"/>
      <c r="EQ423" s="63"/>
      <c r="ER423" s="63"/>
      <c r="ES423" s="63"/>
      <c r="ET423" s="63"/>
      <c r="EU423" s="80"/>
      <c r="EV423" s="64"/>
      <c r="EW423" s="64"/>
      <c r="EX423" s="64"/>
      <c r="EY423" s="64"/>
      <c r="EZ423" s="64"/>
      <c r="FA423" s="64"/>
      <c r="FB423" s="64"/>
      <c r="FC423" s="64"/>
      <c r="FD423" s="64"/>
      <c r="FE423" s="64"/>
      <c r="FF423" s="64"/>
      <c r="FG423" s="65"/>
      <c r="FH423" s="84"/>
      <c r="FI423" s="64"/>
      <c r="FJ423" s="8"/>
      <c r="FK423" s="48"/>
      <c r="FL423" s="48"/>
      <c r="FM423" s="48"/>
      <c r="FN423" s="48"/>
      <c r="FO423" s="48"/>
      <c r="FP423" s="48"/>
      <c r="FQ423" s="48"/>
      <c r="FR423" s="48"/>
      <c r="FS423" s="48"/>
      <c r="FT423" s="48"/>
      <c r="FU423" s="48"/>
      <c r="FV423" s="48"/>
      <c r="FW423" s="48"/>
      <c r="FX423" s="48"/>
      <c r="FY423" s="48"/>
      <c r="FZ423" s="48"/>
      <c r="GA423" s="48"/>
      <c r="GB423" s="48"/>
      <c r="GC423" s="48"/>
      <c r="GD423" s="48"/>
      <c r="GE423" s="48"/>
      <c r="GF423" s="48"/>
      <c r="GG423" s="48"/>
      <c r="GH423" s="48"/>
      <c r="GI423" s="48"/>
      <c r="GJ423" s="8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77"/>
      <c r="GY423" s="77"/>
      <c r="GZ423" s="77"/>
    </row>
    <row r="424" spans="1:208">
      <c r="A424" s="48"/>
      <c r="B424" s="49"/>
      <c r="C424" s="50"/>
      <c r="D424" s="51"/>
      <c r="E424" s="50"/>
      <c r="F424" s="52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90"/>
      <c r="V424" s="91"/>
      <c r="W424" s="92"/>
      <c r="X424" s="92"/>
      <c r="Y424" s="92"/>
      <c r="Z424" s="91"/>
      <c r="AA424" s="93"/>
      <c r="AB424" s="99"/>
      <c r="AC424" s="54"/>
      <c r="AD424" s="54"/>
      <c r="AE424" s="54"/>
      <c r="AF424" s="54"/>
      <c r="AG424" s="54"/>
      <c r="AH424" s="54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113"/>
      <c r="BB424" s="110"/>
      <c r="BC424" s="110"/>
      <c r="BD424" s="110"/>
      <c r="BE424" s="110"/>
      <c r="BF424" s="110"/>
      <c r="BG424" s="110"/>
      <c r="BH424" s="110"/>
      <c r="BI424" s="113"/>
      <c r="BJ424" s="110"/>
      <c r="BK424" s="110"/>
      <c r="BL424" s="110"/>
      <c r="BM424" s="110"/>
      <c r="BN424" s="113"/>
      <c r="BO424" s="110"/>
      <c r="BP424" s="110"/>
      <c r="BQ424" s="110"/>
      <c r="BR424" s="110"/>
      <c r="BS424" s="110"/>
      <c r="BT424" s="110"/>
      <c r="BU424" s="110"/>
      <c r="BV424" s="110"/>
      <c r="BW424" s="110"/>
      <c r="BX424" s="113"/>
      <c r="BY424" s="110"/>
      <c r="BZ424" s="110"/>
      <c r="CA424" s="110"/>
      <c r="CB424" s="110"/>
      <c r="CC424" s="110"/>
      <c r="CD424" s="110"/>
      <c r="CE424" s="110"/>
      <c r="CF424" s="110"/>
      <c r="CG424" s="113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66"/>
      <c r="DA424" s="70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56"/>
      <c r="DR424" s="57"/>
      <c r="DS424" s="58"/>
      <c r="DT424" s="58"/>
      <c r="DU424" s="58"/>
      <c r="DV424" s="58"/>
      <c r="DW424" s="58"/>
      <c r="DX424" s="58"/>
      <c r="DY424" s="58"/>
      <c r="DZ424" s="59"/>
      <c r="EA424" s="60"/>
      <c r="EB424" s="61"/>
      <c r="EC424" s="62"/>
      <c r="ED424" s="2"/>
      <c r="EE424" s="63"/>
      <c r="EF424" s="63"/>
      <c r="EG424" s="63"/>
      <c r="EH424" s="63"/>
      <c r="EI424" s="63"/>
      <c r="EJ424" s="63"/>
      <c r="EK424" s="63"/>
      <c r="EL424" s="63"/>
      <c r="EM424" s="63"/>
      <c r="EN424" s="63"/>
      <c r="EO424" s="63"/>
      <c r="EP424" s="63"/>
      <c r="EQ424" s="63"/>
      <c r="ER424" s="63"/>
      <c r="ES424" s="63"/>
      <c r="ET424" s="63"/>
      <c r="EU424" s="80"/>
      <c r="EV424" s="64"/>
      <c r="EW424" s="64"/>
      <c r="EX424" s="64"/>
      <c r="EY424" s="64"/>
      <c r="EZ424" s="64"/>
      <c r="FA424" s="64"/>
      <c r="FB424" s="64"/>
      <c r="FC424" s="64"/>
      <c r="FD424" s="64"/>
      <c r="FE424" s="64"/>
      <c r="FF424" s="64"/>
      <c r="FG424" s="65"/>
      <c r="FH424" s="84"/>
      <c r="FI424" s="64"/>
      <c r="FJ424" s="8"/>
      <c r="FK424" s="48"/>
      <c r="FL424" s="48"/>
      <c r="FM424" s="48"/>
      <c r="FN424" s="48"/>
      <c r="FO424" s="48"/>
      <c r="FP424" s="48"/>
      <c r="FQ424" s="48"/>
      <c r="FR424" s="48"/>
      <c r="FS424" s="48"/>
      <c r="FT424" s="48"/>
      <c r="FU424" s="48"/>
      <c r="FV424" s="48"/>
      <c r="FW424" s="48"/>
      <c r="FX424" s="48"/>
      <c r="FY424" s="48"/>
      <c r="FZ424" s="48"/>
      <c r="GA424" s="48"/>
      <c r="GB424" s="48"/>
      <c r="GC424" s="48"/>
      <c r="GD424" s="48"/>
      <c r="GE424" s="48"/>
      <c r="GF424" s="48"/>
      <c r="GG424" s="48"/>
      <c r="GH424" s="48"/>
      <c r="GI424" s="48"/>
      <c r="GJ424" s="8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77"/>
      <c r="GY424" s="77"/>
      <c r="GZ424" s="77"/>
    </row>
    <row r="425" spans="1:208">
      <c r="A425" s="48"/>
      <c r="B425" s="49"/>
      <c r="C425" s="50"/>
      <c r="D425" s="51"/>
      <c r="E425" s="50"/>
      <c r="F425" s="52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90"/>
      <c r="V425" s="91"/>
      <c r="W425" s="92"/>
      <c r="X425" s="92"/>
      <c r="Y425" s="92"/>
      <c r="Z425" s="91"/>
      <c r="AA425" s="93"/>
      <c r="AB425" s="99"/>
      <c r="AC425" s="54"/>
      <c r="AD425" s="54"/>
      <c r="AE425" s="54"/>
      <c r="AF425" s="54"/>
      <c r="AG425" s="54"/>
      <c r="AH425" s="54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113"/>
      <c r="BB425" s="110"/>
      <c r="BC425" s="110"/>
      <c r="BD425" s="110"/>
      <c r="BE425" s="110"/>
      <c r="BF425" s="110"/>
      <c r="BG425" s="110"/>
      <c r="BH425" s="110"/>
      <c r="BI425" s="113"/>
      <c r="BJ425" s="110"/>
      <c r="BK425" s="110"/>
      <c r="BL425" s="110"/>
      <c r="BM425" s="110"/>
      <c r="BN425" s="113"/>
      <c r="BO425" s="110"/>
      <c r="BP425" s="110"/>
      <c r="BQ425" s="110"/>
      <c r="BR425" s="110"/>
      <c r="BS425" s="110"/>
      <c r="BT425" s="110"/>
      <c r="BU425" s="110"/>
      <c r="BV425" s="110"/>
      <c r="BW425" s="110"/>
      <c r="BX425" s="113"/>
      <c r="BY425" s="110"/>
      <c r="BZ425" s="110"/>
      <c r="CA425" s="110"/>
      <c r="CB425" s="110"/>
      <c r="CC425" s="110"/>
      <c r="CD425" s="110"/>
      <c r="CE425" s="110"/>
      <c r="CF425" s="110"/>
      <c r="CG425" s="113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66"/>
      <c r="DA425" s="70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56"/>
      <c r="DR425" s="57"/>
      <c r="DS425" s="58"/>
      <c r="DT425" s="58"/>
      <c r="DU425" s="58"/>
      <c r="DV425" s="58"/>
      <c r="DW425" s="58"/>
      <c r="DX425" s="58"/>
      <c r="DY425" s="58"/>
      <c r="DZ425" s="59"/>
      <c r="EA425" s="60"/>
      <c r="EB425" s="61"/>
      <c r="EC425" s="62"/>
      <c r="ED425" s="2"/>
      <c r="EE425" s="63"/>
      <c r="EF425" s="63"/>
      <c r="EG425" s="63"/>
      <c r="EH425" s="63"/>
      <c r="EI425" s="63"/>
      <c r="EJ425" s="63"/>
      <c r="EK425" s="63"/>
      <c r="EL425" s="63"/>
      <c r="EM425" s="63"/>
      <c r="EN425" s="63"/>
      <c r="EO425" s="63"/>
      <c r="EP425" s="63"/>
      <c r="EQ425" s="63"/>
      <c r="ER425" s="63"/>
      <c r="ES425" s="63"/>
      <c r="ET425" s="63"/>
      <c r="EU425" s="80"/>
      <c r="EV425" s="64"/>
      <c r="EW425" s="64"/>
      <c r="EX425" s="64"/>
      <c r="EY425" s="64"/>
      <c r="EZ425" s="64"/>
      <c r="FA425" s="64"/>
      <c r="FB425" s="64"/>
      <c r="FC425" s="64"/>
      <c r="FD425" s="64"/>
      <c r="FE425" s="64"/>
      <c r="FF425" s="64"/>
      <c r="FG425" s="65"/>
      <c r="FH425" s="84"/>
      <c r="FI425" s="64"/>
      <c r="FJ425" s="8"/>
      <c r="FK425" s="48"/>
      <c r="FL425" s="48"/>
      <c r="FM425" s="48"/>
      <c r="FN425" s="48"/>
      <c r="FO425" s="48"/>
      <c r="FP425" s="48"/>
      <c r="FQ425" s="48"/>
      <c r="FR425" s="48"/>
      <c r="FS425" s="48"/>
      <c r="FT425" s="48"/>
      <c r="FU425" s="48"/>
      <c r="FV425" s="48"/>
      <c r="FW425" s="48"/>
      <c r="FX425" s="48"/>
      <c r="FY425" s="48"/>
      <c r="FZ425" s="48"/>
      <c r="GA425" s="48"/>
      <c r="GB425" s="48"/>
      <c r="GC425" s="48"/>
      <c r="GD425" s="48"/>
      <c r="GE425" s="48"/>
      <c r="GF425" s="48"/>
      <c r="GG425" s="48"/>
      <c r="GH425" s="48"/>
      <c r="GI425" s="48"/>
      <c r="GJ425" s="8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77"/>
      <c r="GY425" s="77"/>
      <c r="GZ425" s="77"/>
    </row>
    <row r="426" spans="1:208">
      <c r="A426" s="48"/>
      <c r="B426" s="49"/>
      <c r="C426" s="50"/>
      <c r="D426" s="51"/>
      <c r="E426" s="50"/>
      <c r="F426" s="52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90"/>
      <c r="V426" s="91"/>
      <c r="W426" s="92"/>
      <c r="X426" s="92"/>
      <c r="Y426" s="92"/>
      <c r="Z426" s="91"/>
      <c r="AA426" s="93"/>
      <c r="AB426" s="99"/>
      <c r="AC426" s="54"/>
      <c r="AD426" s="54"/>
      <c r="AE426" s="54"/>
      <c r="AF426" s="54"/>
      <c r="AG426" s="54"/>
      <c r="AH426" s="54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113"/>
      <c r="BB426" s="110"/>
      <c r="BC426" s="110"/>
      <c r="BD426" s="110"/>
      <c r="BE426" s="110"/>
      <c r="BF426" s="110"/>
      <c r="BG426" s="110"/>
      <c r="BH426" s="110"/>
      <c r="BI426" s="113"/>
      <c r="BJ426" s="110"/>
      <c r="BK426" s="110"/>
      <c r="BL426" s="110"/>
      <c r="BM426" s="110"/>
      <c r="BN426" s="113"/>
      <c r="BO426" s="110"/>
      <c r="BP426" s="110"/>
      <c r="BQ426" s="110"/>
      <c r="BR426" s="110"/>
      <c r="BS426" s="110"/>
      <c r="BT426" s="110"/>
      <c r="BU426" s="110"/>
      <c r="BV426" s="110"/>
      <c r="BW426" s="110"/>
      <c r="BX426" s="113"/>
      <c r="BY426" s="110"/>
      <c r="BZ426" s="110"/>
      <c r="CA426" s="110"/>
      <c r="CB426" s="110"/>
      <c r="CC426" s="110"/>
      <c r="CD426" s="110"/>
      <c r="CE426" s="110"/>
      <c r="CF426" s="110"/>
      <c r="CG426" s="113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66"/>
      <c r="DA426" s="70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56"/>
      <c r="DR426" s="57"/>
      <c r="DS426" s="58"/>
      <c r="DT426" s="58"/>
      <c r="DU426" s="58"/>
      <c r="DV426" s="58"/>
      <c r="DW426" s="58"/>
      <c r="DX426" s="58"/>
      <c r="DY426" s="58"/>
      <c r="DZ426" s="59"/>
      <c r="EA426" s="60"/>
      <c r="EB426" s="61"/>
      <c r="EC426" s="62"/>
      <c r="ED426" s="2"/>
      <c r="EE426" s="63"/>
      <c r="EF426" s="63"/>
      <c r="EG426" s="63"/>
      <c r="EH426" s="63"/>
      <c r="EI426" s="63"/>
      <c r="EJ426" s="63"/>
      <c r="EK426" s="63"/>
      <c r="EL426" s="63"/>
      <c r="EM426" s="63"/>
      <c r="EN426" s="63"/>
      <c r="EO426" s="63"/>
      <c r="EP426" s="63"/>
      <c r="EQ426" s="63"/>
      <c r="ER426" s="63"/>
      <c r="ES426" s="63"/>
      <c r="ET426" s="63"/>
      <c r="EU426" s="80"/>
      <c r="EV426" s="64"/>
      <c r="EW426" s="64"/>
      <c r="EX426" s="64"/>
      <c r="EY426" s="64"/>
      <c r="EZ426" s="64"/>
      <c r="FA426" s="64"/>
      <c r="FB426" s="64"/>
      <c r="FC426" s="64"/>
      <c r="FD426" s="64"/>
      <c r="FE426" s="64"/>
      <c r="FF426" s="64"/>
      <c r="FG426" s="65"/>
      <c r="FH426" s="84"/>
      <c r="FI426" s="64"/>
      <c r="FJ426" s="8"/>
      <c r="FK426" s="48"/>
      <c r="FL426" s="48"/>
      <c r="FM426" s="48"/>
      <c r="FN426" s="48"/>
      <c r="FO426" s="48"/>
      <c r="FP426" s="48"/>
      <c r="FQ426" s="48"/>
      <c r="FR426" s="48"/>
      <c r="FS426" s="48"/>
      <c r="FT426" s="48"/>
      <c r="FU426" s="48"/>
      <c r="FV426" s="48"/>
      <c r="FW426" s="48"/>
      <c r="FX426" s="48"/>
      <c r="FY426" s="48"/>
      <c r="FZ426" s="48"/>
      <c r="GA426" s="48"/>
      <c r="GB426" s="48"/>
      <c r="GC426" s="48"/>
      <c r="GD426" s="48"/>
      <c r="GE426" s="48"/>
      <c r="GF426" s="48"/>
      <c r="GG426" s="48"/>
      <c r="GH426" s="48"/>
      <c r="GI426" s="48"/>
      <c r="GJ426" s="8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77"/>
      <c r="GY426" s="77"/>
      <c r="GZ426" s="77"/>
    </row>
    <row r="427" spans="1:208">
      <c r="A427" s="48"/>
      <c r="B427" s="49"/>
      <c r="C427" s="50"/>
      <c r="D427" s="51"/>
      <c r="E427" s="50"/>
      <c r="F427" s="52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90"/>
      <c r="V427" s="91"/>
      <c r="W427" s="92"/>
      <c r="X427" s="92"/>
      <c r="Y427" s="92"/>
      <c r="Z427" s="91"/>
      <c r="AA427" s="93"/>
      <c r="AB427" s="99"/>
      <c r="AC427" s="54"/>
      <c r="AD427" s="54"/>
      <c r="AE427" s="54"/>
      <c r="AF427" s="54"/>
      <c r="AG427" s="54"/>
      <c r="AH427" s="54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113"/>
      <c r="BB427" s="110"/>
      <c r="BC427" s="110"/>
      <c r="BD427" s="110"/>
      <c r="BE427" s="110"/>
      <c r="BF427" s="110"/>
      <c r="BG427" s="110"/>
      <c r="BH427" s="110"/>
      <c r="BI427" s="113"/>
      <c r="BJ427" s="110"/>
      <c r="BK427" s="110"/>
      <c r="BL427" s="110"/>
      <c r="BM427" s="110"/>
      <c r="BN427" s="113"/>
      <c r="BO427" s="110"/>
      <c r="BP427" s="110"/>
      <c r="BQ427" s="110"/>
      <c r="BR427" s="110"/>
      <c r="BS427" s="110"/>
      <c r="BT427" s="110"/>
      <c r="BU427" s="110"/>
      <c r="BV427" s="110"/>
      <c r="BW427" s="110"/>
      <c r="BX427" s="113"/>
      <c r="BY427" s="110"/>
      <c r="BZ427" s="110"/>
      <c r="CA427" s="110"/>
      <c r="CB427" s="110"/>
      <c r="CC427" s="110"/>
      <c r="CD427" s="110"/>
      <c r="CE427" s="110"/>
      <c r="CF427" s="110"/>
      <c r="CG427" s="113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66"/>
      <c r="DA427" s="70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56"/>
      <c r="DR427" s="57"/>
      <c r="DS427" s="58"/>
      <c r="DT427" s="58"/>
      <c r="DU427" s="58"/>
      <c r="DV427" s="58"/>
      <c r="DW427" s="58"/>
      <c r="DX427" s="58"/>
      <c r="DY427" s="58"/>
      <c r="DZ427" s="59"/>
      <c r="EA427" s="60"/>
      <c r="EB427" s="61"/>
      <c r="EC427" s="62"/>
      <c r="ED427" s="2"/>
      <c r="EE427" s="63"/>
      <c r="EF427" s="63"/>
      <c r="EG427" s="63"/>
      <c r="EH427" s="63"/>
      <c r="EI427" s="63"/>
      <c r="EJ427" s="63"/>
      <c r="EK427" s="63"/>
      <c r="EL427" s="63"/>
      <c r="EM427" s="63"/>
      <c r="EN427" s="63"/>
      <c r="EO427" s="63"/>
      <c r="EP427" s="63"/>
      <c r="EQ427" s="63"/>
      <c r="ER427" s="63"/>
      <c r="ES427" s="63"/>
      <c r="ET427" s="63"/>
      <c r="EU427" s="80"/>
      <c r="EV427" s="64"/>
      <c r="EW427" s="64"/>
      <c r="EX427" s="64"/>
      <c r="EY427" s="64"/>
      <c r="EZ427" s="64"/>
      <c r="FA427" s="64"/>
      <c r="FB427" s="64"/>
      <c r="FC427" s="64"/>
      <c r="FD427" s="64"/>
      <c r="FE427" s="64"/>
      <c r="FF427" s="64"/>
      <c r="FG427" s="65"/>
      <c r="FH427" s="84"/>
      <c r="FI427" s="64"/>
      <c r="FJ427" s="8"/>
      <c r="FK427" s="48"/>
      <c r="FL427" s="48"/>
      <c r="FM427" s="48"/>
      <c r="FN427" s="48"/>
      <c r="FO427" s="48"/>
      <c r="FP427" s="48"/>
      <c r="FQ427" s="48"/>
      <c r="FR427" s="48"/>
      <c r="FS427" s="48"/>
      <c r="FT427" s="48"/>
      <c r="FU427" s="48"/>
      <c r="FV427" s="48"/>
      <c r="FW427" s="48"/>
      <c r="FX427" s="48"/>
      <c r="FY427" s="48"/>
      <c r="FZ427" s="48"/>
      <c r="GA427" s="48"/>
      <c r="GB427" s="48"/>
      <c r="GC427" s="48"/>
      <c r="GD427" s="48"/>
      <c r="GE427" s="48"/>
      <c r="GF427" s="48"/>
      <c r="GG427" s="48"/>
      <c r="GH427" s="48"/>
      <c r="GI427" s="48"/>
      <c r="GJ427" s="8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77"/>
      <c r="GY427" s="77"/>
      <c r="GZ427" s="77"/>
    </row>
    <row r="428" spans="1:208">
      <c r="A428" s="48"/>
      <c r="B428" s="49"/>
      <c r="C428" s="50"/>
      <c r="D428" s="51"/>
      <c r="E428" s="50"/>
      <c r="F428" s="52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90"/>
      <c r="V428" s="91"/>
      <c r="W428" s="92"/>
      <c r="X428" s="92"/>
      <c r="Y428" s="92"/>
      <c r="Z428" s="91"/>
      <c r="AA428" s="93"/>
      <c r="AB428" s="99"/>
      <c r="AC428" s="54"/>
      <c r="AD428" s="54"/>
      <c r="AE428" s="54"/>
      <c r="AF428" s="54"/>
      <c r="AG428" s="54"/>
      <c r="AH428" s="54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113"/>
      <c r="BB428" s="110"/>
      <c r="BC428" s="110"/>
      <c r="BD428" s="110"/>
      <c r="BE428" s="110"/>
      <c r="BF428" s="110"/>
      <c r="BG428" s="110"/>
      <c r="BH428" s="110"/>
      <c r="BI428" s="113"/>
      <c r="BJ428" s="110"/>
      <c r="BK428" s="110"/>
      <c r="BL428" s="110"/>
      <c r="BM428" s="110"/>
      <c r="BN428" s="113"/>
      <c r="BO428" s="110"/>
      <c r="BP428" s="110"/>
      <c r="BQ428" s="110"/>
      <c r="BR428" s="110"/>
      <c r="BS428" s="110"/>
      <c r="BT428" s="110"/>
      <c r="BU428" s="110"/>
      <c r="BV428" s="110"/>
      <c r="BW428" s="110"/>
      <c r="BX428" s="113"/>
      <c r="BY428" s="110"/>
      <c r="BZ428" s="110"/>
      <c r="CA428" s="110"/>
      <c r="CB428" s="110"/>
      <c r="CC428" s="110"/>
      <c r="CD428" s="110"/>
      <c r="CE428" s="110"/>
      <c r="CF428" s="110"/>
      <c r="CG428" s="113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66"/>
      <c r="DA428" s="70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56"/>
      <c r="DR428" s="57"/>
      <c r="DS428" s="58"/>
      <c r="DT428" s="58"/>
      <c r="DU428" s="58"/>
      <c r="DV428" s="58"/>
      <c r="DW428" s="58"/>
      <c r="DX428" s="58"/>
      <c r="DY428" s="58"/>
      <c r="DZ428" s="59"/>
      <c r="EA428" s="60"/>
      <c r="EB428" s="61"/>
      <c r="EC428" s="62"/>
      <c r="ED428" s="2"/>
      <c r="EE428" s="63"/>
      <c r="EF428" s="63"/>
      <c r="EG428" s="63"/>
      <c r="EH428" s="63"/>
      <c r="EI428" s="63"/>
      <c r="EJ428" s="63"/>
      <c r="EK428" s="63"/>
      <c r="EL428" s="63"/>
      <c r="EM428" s="63"/>
      <c r="EN428" s="63"/>
      <c r="EO428" s="63"/>
      <c r="EP428" s="63"/>
      <c r="EQ428" s="63"/>
      <c r="ER428" s="63"/>
      <c r="ES428" s="63"/>
      <c r="ET428" s="63"/>
      <c r="EU428" s="80"/>
      <c r="EV428" s="64"/>
      <c r="EW428" s="64"/>
      <c r="EX428" s="64"/>
      <c r="EY428" s="64"/>
      <c r="EZ428" s="64"/>
      <c r="FA428" s="64"/>
      <c r="FB428" s="64"/>
      <c r="FC428" s="64"/>
      <c r="FD428" s="64"/>
      <c r="FE428" s="64"/>
      <c r="FF428" s="64"/>
      <c r="FG428" s="65"/>
      <c r="FH428" s="84"/>
      <c r="FI428" s="64"/>
      <c r="FJ428" s="8"/>
      <c r="FK428" s="48"/>
      <c r="FL428" s="48"/>
      <c r="FM428" s="48"/>
      <c r="FN428" s="48"/>
      <c r="FO428" s="48"/>
      <c r="FP428" s="48"/>
      <c r="FQ428" s="48"/>
      <c r="FR428" s="48"/>
      <c r="FS428" s="48"/>
      <c r="FT428" s="48"/>
      <c r="FU428" s="48"/>
      <c r="FV428" s="48"/>
      <c r="FW428" s="48"/>
      <c r="FX428" s="48"/>
      <c r="FY428" s="48"/>
      <c r="FZ428" s="48"/>
      <c r="GA428" s="48"/>
      <c r="GB428" s="48"/>
      <c r="GC428" s="48"/>
      <c r="GD428" s="48"/>
      <c r="GE428" s="48"/>
      <c r="GF428" s="48"/>
      <c r="GG428" s="48"/>
      <c r="GH428" s="48"/>
      <c r="GI428" s="48"/>
      <c r="GJ428" s="8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77"/>
      <c r="GY428" s="77"/>
      <c r="GZ428" s="77"/>
    </row>
    <row r="429" spans="1:208">
      <c r="A429" s="48"/>
      <c r="B429" s="49"/>
      <c r="C429" s="50"/>
      <c r="D429" s="51"/>
      <c r="E429" s="50"/>
      <c r="F429" s="52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90"/>
      <c r="V429" s="91"/>
      <c r="W429" s="92"/>
      <c r="X429" s="92"/>
      <c r="Y429" s="92"/>
      <c r="Z429" s="91"/>
      <c r="AA429" s="93"/>
      <c r="AB429" s="99"/>
      <c r="AC429" s="54"/>
      <c r="AD429" s="54"/>
      <c r="AE429" s="54"/>
      <c r="AF429" s="54"/>
      <c r="AG429" s="54"/>
      <c r="AH429" s="54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113"/>
      <c r="BB429" s="110"/>
      <c r="BC429" s="110"/>
      <c r="BD429" s="110"/>
      <c r="BE429" s="110"/>
      <c r="BF429" s="110"/>
      <c r="BG429" s="110"/>
      <c r="BH429" s="110"/>
      <c r="BI429" s="113"/>
      <c r="BJ429" s="110"/>
      <c r="BK429" s="110"/>
      <c r="BL429" s="110"/>
      <c r="BM429" s="110"/>
      <c r="BN429" s="113"/>
      <c r="BO429" s="110"/>
      <c r="BP429" s="110"/>
      <c r="BQ429" s="110"/>
      <c r="BR429" s="110"/>
      <c r="BS429" s="110"/>
      <c r="BT429" s="110"/>
      <c r="BU429" s="110"/>
      <c r="BV429" s="110"/>
      <c r="BW429" s="110"/>
      <c r="BX429" s="113"/>
      <c r="BY429" s="110"/>
      <c r="BZ429" s="110"/>
      <c r="CA429" s="110"/>
      <c r="CB429" s="110"/>
      <c r="CC429" s="110"/>
      <c r="CD429" s="110"/>
      <c r="CE429" s="110"/>
      <c r="CF429" s="110"/>
      <c r="CG429" s="113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66"/>
      <c r="DA429" s="70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56"/>
      <c r="DR429" s="57"/>
      <c r="DS429" s="58"/>
      <c r="DT429" s="58"/>
      <c r="DU429" s="58"/>
      <c r="DV429" s="58"/>
      <c r="DW429" s="58"/>
      <c r="DX429" s="58"/>
      <c r="DY429" s="58"/>
      <c r="DZ429" s="59"/>
      <c r="EA429" s="60"/>
      <c r="EB429" s="61"/>
      <c r="EC429" s="62"/>
      <c r="ED429" s="2"/>
      <c r="EE429" s="63"/>
      <c r="EF429" s="63"/>
      <c r="EG429" s="63"/>
      <c r="EH429" s="63"/>
      <c r="EI429" s="63"/>
      <c r="EJ429" s="63"/>
      <c r="EK429" s="63"/>
      <c r="EL429" s="63"/>
      <c r="EM429" s="63"/>
      <c r="EN429" s="63"/>
      <c r="EO429" s="63"/>
      <c r="EP429" s="63"/>
      <c r="EQ429" s="63"/>
      <c r="ER429" s="63"/>
      <c r="ES429" s="63"/>
      <c r="ET429" s="63"/>
      <c r="EU429" s="80"/>
      <c r="EV429" s="64"/>
      <c r="EW429" s="64"/>
      <c r="EX429" s="64"/>
      <c r="EY429" s="64"/>
      <c r="EZ429" s="64"/>
      <c r="FA429" s="64"/>
      <c r="FB429" s="64"/>
      <c r="FC429" s="64"/>
      <c r="FD429" s="64"/>
      <c r="FE429" s="64"/>
      <c r="FF429" s="64"/>
      <c r="FG429" s="65"/>
      <c r="FH429" s="84"/>
      <c r="FI429" s="64"/>
      <c r="FJ429" s="8"/>
      <c r="FK429" s="48"/>
      <c r="FL429" s="48"/>
      <c r="FM429" s="48"/>
      <c r="FN429" s="48"/>
      <c r="FO429" s="48"/>
      <c r="FP429" s="48"/>
      <c r="FQ429" s="48"/>
      <c r="FR429" s="48"/>
      <c r="FS429" s="48"/>
      <c r="FT429" s="48"/>
      <c r="FU429" s="48"/>
      <c r="FV429" s="48"/>
      <c r="FW429" s="48"/>
      <c r="FX429" s="48"/>
      <c r="FY429" s="48"/>
      <c r="FZ429" s="48"/>
      <c r="GA429" s="48"/>
      <c r="GB429" s="48"/>
      <c r="GC429" s="48"/>
      <c r="GD429" s="48"/>
      <c r="GE429" s="48"/>
      <c r="GF429" s="48"/>
      <c r="GG429" s="48"/>
      <c r="GH429" s="48"/>
      <c r="GI429" s="48"/>
      <c r="GJ429" s="8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77"/>
      <c r="GY429" s="77"/>
      <c r="GZ429" s="77"/>
    </row>
    <row r="430" spans="1:208">
      <c r="A430" s="48"/>
      <c r="B430" s="49"/>
      <c r="C430" s="50"/>
      <c r="D430" s="51"/>
      <c r="E430" s="50"/>
      <c r="F430" s="52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90"/>
      <c r="V430" s="91"/>
      <c r="W430" s="92"/>
      <c r="X430" s="92"/>
      <c r="Y430" s="92"/>
      <c r="Z430" s="91"/>
      <c r="AA430" s="93"/>
      <c r="AB430" s="99"/>
      <c r="AC430" s="54"/>
      <c r="AD430" s="54"/>
      <c r="AE430" s="54"/>
      <c r="AF430" s="54"/>
      <c r="AG430" s="54"/>
      <c r="AH430" s="54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113"/>
      <c r="BB430" s="110"/>
      <c r="BC430" s="110"/>
      <c r="BD430" s="110"/>
      <c r="BE430" s="110"/>
      <c r="BF430" s="110"/>
      <c r="BG430" s="110"/>
      <c r="BH430" s="110"/>
      <c r="BI430" s="113"/>
      <c r="BJ430" s="110"/>
      <c r="BK430" s="110"/>
      <c r="BL430" s="110"/>
      <c r="BM430" s="110"/>
      <c r="BN430" s="113"/>
      <c r="BO430" s="110"/>
      <c r="BP430" s="110"/>
      <c r="BQ430" s="110"/>
      <c r="BR430" s="110"/>
      <c r="BS430" s="110"/>
      <c r="BT430" s="110"/>
      <c r="BU430" s="110"/>
      <c r="BV430" s="110"/>
      <c r="BW430" s="110"/>
      <c r="BX430" s="113"/>
      <c r="BY430" s="110"/>
      <c r="BZ430" s="110"/>
      <c r="CA430" s="110"/>
      <c r="CB430" s="110"/>
      <c r="CC430" s="110"/>
      <c r="CD430" s="110"/>
      <c r="CE430" s="110"/>
      <c r="CF430" s="110"/>
      <c r="CG430" s="113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66"/>
      <c r="DA430" s="70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56"/>
      <c r="DR430" s="57"/>
      <c r="DS430" s="58"/>
      <c r="DT430" s="58"/>
      <c r="DU430" s="58"/>
      <c r="DV430" s="58"/>
      <c r="DW430" s="58"/>
      <c r="DX430" s="58"/>
      <c r="DY430" s="58"/>
      <c r="DZ430" s="59"/>
      <c r="EA430" s="60"/>
      <c r="EB430" s="61"/>
      <c r="EC430" s="62"/>
      <c r="ED430" s="2"/>
      <c r="EE430" s="63"/>
      <c r="EF430" s="63"/>
      <c r="EG430" s="63"/>
      <c r="EH430" s="63"/>
      <c r="EI430" s="63"/>
      <c r="EJ430" s="63"/>
      <c r="EK430" s="63"/>
      <c r="EL430" s="63"/>
      <c r="EM430" s="63"/>
      <c r="EN430" s="63"/>
      <c r="EO430" s="63"/>
      <c r="EP430" s="63"/>
      <c r="EQ430" s="63"/>
      <c r="ER430" s="63"/>
      <c r="ES430" s="63"/>
      <c r="ET430" s="63"/>
      <c r="EU430" s="80"/>
      <c r="EV430" s="64"/>
      <c r="EW430" s="64"/>
      <c r="EX430" s="64"/>
      <c r="EY430" s="64"/>
      <c r="EZ430" s="64"/>
      <c r="FA430" s="64"/>
      <c r="FB430" s="64"/>
      <c r="FC430" s="64"/>
      <c r="FD430" s="64"/>
      <c r="FE430" s="64"/>
      <c r="FF430" s="64"/>
      <c r="FG430" s="65"/>
      <c r="FH430" s="84"/>
      <c r="FI430" s="64"/>
      <c r="FJ430" s="8"/>
      <c r="FK430" s="48"/>
      <c r="FL430" s="48"/>
      <c r="FM430" s="48"/>
      <c r="FN430" s="48"/>
      <c r="FO430" s="48"/>
      <c r="FP430" s="48"/>
      <c r="FQ430" s="48"/>
      <c r="FR430" s="48"/>
      <c r="FS430" s="48"/>
      <c r="FT430" s="48"/>
      <c r="FU430" s="48"/>
      <c r="FV430" s="48"/>
      <c r="FW430" s="48"/>
      <c r="FX430" s="48"/>
      <c r="FY430" s="48"/>
      <c r="FZ430" s="48"/>
      <c r="GA430" s="48"/>
      <c r="GB430" s="48"/>
      <c r="GC430" s="48"/>
      <c r="GD430" s="48"/>
      <c r="GE430" s="48"/>
      <c r="GF430" s="48"/>
      <c r="GG430" s="48"/>
      <c r="GH430" s="48"/>
      <c r="GI430" s="48"/>
      <c r="GJ430" s="8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77"/>
      <c r="GY430" s="77"/>
      <c r="GZ430" s="77"/>
    </row>
    <row r="431" spans="1:208">
      <c r="A431" s="48"/>
      <c r="B431" s="49"/>
      <c r="C431" s="50"/>
      <c r="D431" s="51"/>
      <c r="E431" s="50"/>
      <c r="F431" s="52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90"/>
      <c r="V431" s="91"/>
      <c r="W431" s="92"/>
      <c r="X431" s="92"/>
      <c r="Y431" s="92"/>
      <c r="Z431" s="91"/>
      <c r="AA431" s="93"/>
      <c r="AB431" s="99"/>
      <c r="AC431" s="54"/>
      <c r="AD431" s="54"/>
      <c r="AE431" s="54"/>
      <c r="AF431" s="54"/>
      <c r="AG431" s="54"/>
      <c r="AH431" s="54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113"/>
      <c r="BB431" s="110"/>
      <c r="BC431" s="110"/>
      <c r="BD431" s="110"/>
      <c r="BE431" s="110"/>
      <c r="BF431" s="110"/>
      <c r="BG431" s="110"/>
      <c r="BH431" s="110"/>
      <c r="BI431" s="113"/>
      <c r="BJ431" s="110"/>
      <c r="BK431" s="110"/>
      <c r="BL431" s="110"/>
      <c r="BM431" s="110"/>
      <c r="BN431" s="113"/>
      <c r="BO431" s="110"/>
      <c r="BP431" s="110"/>
      <c r="BQ431" s="110"/>
      <c r="BR431" s="110"/>
      <c r="BS431" s="110"/>
      <c r="BT431" s="110"/>
      <c r="BU431" s="110"/>
      <c r="BV431" s="110"/>
      <c r="BW431" s="110"/>
      <c r="BX431" s="113"/>
      <c r="BY431" s="110"/>
      <c r="BZ431" s="110"/>
      <c r="CA431" s="110"/>
      <c r="CB431" s="110"/>
      <c r="CC431" s="110"/>
      <c r="CD431" s="110"/>
      <c r="CE431" s="110"/>
      <c r="CF431" s="110"/>
      <c r="CG431" s="113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66"/>
      <c r="DA431" s="70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56"/>
      <c r="DR431" s="57"/>
      <c r="DS431" s="58"/>
      <c r="DT431" s="58"/>
      <c r="DU431" s="58"/>
      <c r="DV431" s="58"/>
      <c r="DW431" s="58"/>
      <c r="DX431" s="58"/>
      <c r="DY431" s="58"/>
      <c r="DZ431" s="59"/>
      <c r="EA431" s="60"/>
      <c r="EB431" s="61"/>
      <c r="EC431" s="62"/>
      <c r="ED431" s="2"/>
      <c r="EE431" s="63"/>
      <c r="EF431" s="63"/>
      <c r="EG431" s="63"/>
      <c r="EH431" s="63"/>
      <c r="EI431" s="63"/>
      <c r="EJ431" s="63"/>
      <c r="EK431" s="63"/>
      <c r="EL431" s="63"/>
      <c r="EM431" s="63"/>
      <c r="EN431" s="63"/>
      <c r="EO431" s="63"/>
      <c r="EP431" s="63"/>
      <c r="EQ431" s="63"/>
      <c r="ER431" s="63"/>
      <c r="ES431" s="63"/>
      <c r="ET431" s="63"/>
      <c r="EU431" s="80"/>
      <c r="EV431" s="64"/>
      <c r="EW431" s="64"/>
      <c r="EX431" s="64"/>
      <c r="EY431" s="64"/>
      <c r="EZ431" s="64"/>
      <c r="FA431" s="64"/>
      <c r="FB431" s="64"/>
      <c r="FC431" s="64"/>
      <c r="FD431" s="64"/>
      <c r="FE431" s="64"/>
      <c r="FF431" s="64"/>
      <c r="FG431" s="65"/>
      <c r="FH431" s="84"/>
      <c r="FI431" s="64"/>
      <c r="FJ431" s="8"/>
      <c r="FK431" s="48"/>
      <c r="FL431" s="48"/>
      <c r="FM431" s="48"/>
      <c r="FN431" s="48"/>
      <c r="FO431" s="48"/>
      <c r="FP431" s="48"/>
      <c r="FQ431" s="48"/>
      <c r="FR431" s="48"/>
      <c r="FS431" s="48"/>
      <c r="FT431" s="48"/>
      <c r="FU431" s="48"/>
      <c r="FV431" s="48"/>
      <c r="FW431" s="48"/>
      <c r="FX431" s="48"/>
      <c r="FY431" s="48"/>
      <c r="FZ431" s="48"/>
      <c r="GA431" s="48"/>
      <c r="GB431" s="48"/>
      <c r="GC431" s="48"/>
      <c r="GD431" s="48"/>
      <c r="GE431" s="48"/>
      <c r="GF431" s="48"/>
      <c r="GG431" s="48"/>
      <c r="GH431" s="48"/>
      <c r="GI431" s="48"/>
      <c r="GJ431" s="8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77"/>
      <c r="GY431" s="77"/>
      <c r="GZ431" s="77"/>
    </row>
    <row r="432" spans="1:208">
      <c r="A432" s="48"/>
      <c r="B432" s="49"/>
      <c r="C432" s="50"/>
      <c r="D432" s="51"/>
      <c r="E432" s="50"/>
      <c r="F432" s="52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90"/>
      <c r="V432" s="91"/>
      <c r="W432" s="92"/>
      <c r="X432" s="92"/>
      <c r="Y432" s="92"/>
      <c r="Z432" s="91"/>
      <c r="AA432" s="93"/>
      <c r="AB432" s="99"/>
      <c r="AC432" s="54"/>
      <c r="AD432" s="54"/>
      <c r="AE432" s="54"/>
      <c r="AF432" s="54"/>
      <c r="AG432" s="54"/>
      <c r="AH432" s="54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113"/>
      <c r="BB432" s="110"/>
      <c r="BC432" s="110"/>
      <c r="BD432" s="110"/>
      <c r="BE432" s="110"/>
      <c r="BF432" s="110"/>
      <c r="BG432" s="110"/>
      <c r="BH432" s="110"/>
      <c r="BI432" s="113"/>
      <c r="BJ432" s="110"/>
      <c r="BK432" s="110"/>
      <c r="BL432" s="110"/>
      <c r="BM432" s="110"/>
      <c r="BN432" s="113"/>
      <c r="BO432" s="110"/>
      <c r="BP432" s="110"/>
      <c r="BQ432" s="110"/>
      <c r="BR432" s="110"/>
      <c r="BS432" s="110"/>
      <c r="BT432" s="110"/>
      <c r="BU432" s="110"/>
      <c r="BV432" s="110"/>
      <c r="BW432" s="110"/>
      <c r="BX432" s="113"/>
      <c r="BY432" s="110"/>
      <c r="BZ432" s="110"/>
      <c r="CA432" s="110"/>
      <c r="CB432" s="110"/>
      <c r="CC432" s="110"/>
      <c r="CD432" s="110"/>
      <c r="CE432" s="110"/>
      <c r="CF432" s="110"/>
      <c r="CG432" s="113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66"/>
      <c r="DA432" s="70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56"/>
      <c r="DR432" s="57"/>
      <c r="DS432" s="58"/>
      <c r="DT432" s="58"/>
      <c r="DU432" s="58"/>
      <c r="DV432" s="58"/>
      <c r="DW432" s="58"/>
      <c r="DX432" s="58"/>
      <c r="DY432" s="58"/>
      <c r="DZ432" s="59"/>
      <c r="EA432" s="60"/>
      <c r="EB432" s="61"/>
      <c r="EC432" s="62"/>
      <c r="ED432" s="2"/>
      <c r="EE432" s="63"/>
      <c r="EF432" s="63"/>
      <c r="EG432" s="63"/>
      <c r="EH432" s="63"/>
      <c r="EI432" s="63"/>
      <c r="EJ432" s="63"/>
      <c r="EK432" s="63"/>
      <c r="EL432" s="63"/>
      <c r="EM432" s="63"/>
      <c r="EN432" s="63"/>
      <c r="EO432" s="63"/>
      <c r="EP432" s="63"/>
      <c r="EQ432" s="63"/>
      <c r="ER432" s="63"/>
      <c r="ES432" s="63"/>
      <c r="ET432" s="63"/>
      <c r="EU432" s="80"/>
      <c r="EV432" s="64"/>
      <c r="EW432" s="64"/>
      <c r="EX432" s="64"/>
      <c r="EY432" s="64"/>
      <c r="EZ432" s="64"/>
      <c r="FA432" s="64"/>
      <c r="FB432" s="64"/>
      <c r="FC432" s="64"/>
      <c r="FD432" s="64"/>
      <c r="FE432" s="64"/>
      <c r="FF432" s="64"/>
      <c r="FG432" s="65"/>
      <c r="FH432" s="84"/>
      <c r="FI432" s="64"/>
      <c r="FJ432" s="8"/>
      <c r="FK432" s="48"/>
      <c r="FL432" s="48"/>
      <c r="FM432" s="48"/>
      <c r="FN432" s="48"/>
      <c r="FO432" s="48"/>
      <c r="FP432" s="48"/>
      <c r="FQ432" s="48"/>
      <c r="FR432" s="48"/>
      <c r="FS432" s="48"/>
      <c r="FT432" s="48"/>
      <c r="FU432" s="48"/>
      <c r="FV432" s="48"/>
      <c r="FW432" s="48"/>
      <c r="FX432" s="48"/>
      <c r="FY432" s="48"/>
      <c r="FZ432" s="48"/>
      <c r="GA432" s="48"/>
      <c r="GB432" s="48"/>
      <c r="GC432" s="48"/>
      <c r="GD432" s="48"/>
      <c r="GE432" s="48"/>
      <c r="GF432" s="48"/>
      <c r="GG432" s="48"/>
      <c r="GH432" s="48"/>
      <c r="GI432" s="48"/>
      <c r="GJ432" s="8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77"/>
      <c r="GY432" s="77"/>
      <c r="GZ432" s="77"/>
    </row>
    <row r="433" spans="1:208">
      <c r="A433" s="48"/>
      <c r="B433" s="49"/>
      <c r="C433" s="50"/>
      <c r="D433" s="51"/>
      <c r="E433" s="50"/>
      <c r="F433" s="52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90"/>
      <c r="V433" s="91"/>
      <c r="W433" s="92"/>
      <c r="X433" s="92"/>
      <c r="Y433" s="92"/>
      <c r="Z433" s="91"/>
      <c r="AA433" s="93"/>
      <c r="AB433" s="99"/>
      <c r="AC433" s="54"/>
      <c r="AD433" s="54"/>
      <c r="AE433" s="54"/>
      <c r="AF433" s="54"/>
      <c r="AG433" s="54"/>
      <c r="AH433" s="54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113"/>
      <c r="BB433" s="110"/>
      <c r="BC433" s="110"/>
      <c r="BD433" s="110"/>
      <c r="BE433" s="110"/>
      <c r="BF433" s="110"/>
      <c r="BG433" s="110"/>
      <c r="BH433" s="110"/>
      <c r="BI433" s="113"/>
      <c r="BJ433" s="110"/>
      <c r="BK433" s="110"/>
      <c r="BL433" s="110"/>
      <c r="BM433" s="110"/>
      <c r="BN433" s="113"/>
      <c r="BO433" s="110"/>
      <c r="BP433" s="110"/>
      <c r="BQ433" s="110"/>
      <c r="BR433" s="110"/>
      <c r="BS433" s="110"/>
      <c r="BT433" s="110"/>
      <c r="BU433" s="110"/>
      <c r="BV433" s="110"/>
      <c r="BW433" s="110"/>
      <c r="BX433" s="113"/>
      <c r="BY433" s="110"/>
      <c r="BZ433" s="110"/>
      <c r="CA433" s="110"/>
      <c r="CB433" s="110"/>
      <c r="CC433" s="110"/>
      <c r="CD433" s="110"/>
      <c r="CE433" s="110"/>
      <c r="CF433" s="110"/>
      <c r="CG433" s="113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66"/>
      <c r="DA433" s="70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56"/>
      <c r="DR433" s="57"/>
      <c r="DS433" s="58"/>
      <c r="DT433" s="58"/>
      <c r="DU433" s="58"/>
      <c r="DV433" s="58"/>
      <c r="DW433" s="58"/>
      <c r="DX433" s="58"/>
      <c r="DY433" s="58"/>
      <c r="DZ433" s="59"/>
      <c r="EA433" s="60"/>
      <c r="EB433" s="61"/>
      <c r="EC433" s="62"/>
      <c r="ED433" s="2"/>
      <c r="EE433" s="63"/>
      <c r="EF433" s="63"/>
      <c r="EG433" s="63"/>
      <c r="EH433" s="63"/>
      <c r="EI433" s="63"/>
      <c r="EJ433" s="63"/>
      <c r="EK433" s="63"/>
      <c r="EL433" s="63"/>
      <c r="EM433" s="63"/>
      <c r="EN433" s="63"/>
      <c r="EO433" s="63"/>
      <c r="EP433" s="63"/>
      <c r="EQ433" s="63"/>
      <c r="ER433" s="63"/>
      <c r="ES433" s="63"/>
      <c r="ET433" s="63"/>
      <c r="EU433" s="80"/>
      <c r="EV433" s="64"/>
      <c r="EW433" s="64"/>
      <c r="EX433" s="64"/>
      <c r="EY433" s="64"/>
      <c r="EZ433" s="64"/>
      <c r="FA433" s="64"/>
      <c r="FB433" s="64"/>
      <c r="FC433" s="64"/>
      <c r="FD433" s="64"/>
      <c r="FE433" s="64"/>
      <c r="FF433" s="64"/>
      <c r="FG433" s="65"/>
      <c r="FH433" s="84"/>
      <c r="FI433" s="64"/>
      <c r="FJ433" s="8"/>
      <c r="FK433" s="48"/>
      <c r="FL433" s="48"/>
      <c r="FM433" s="48"/>
      <c r="FN433" s="48"/>
      <c r="FO433" s="48"/>
      <c r="FP433" s="48"/>
      <c r="FQ433" s="48"/>
      <c r="FR433" s="48"/>
      <c r="FS433" s="48"/>
      <c r="FT433" s="48"/>
      <c r="FU433" s="48"/>
      <c r="FV433" s="48"/>
      <c r="FW433" s="48"/>
      <c r="FX433" s="48"/>
      <c r="FY433" s="48"/>
      <c r="FZ433" s="48"/>
      <c r="GA433" s="48"/>
      <c r="GB433" s="48"/>
      <c r="GC433" s="48"/>
      <c r="GD433" s="48"/>
      <c r="GE433" s="48"/>
      <c r="GF433" s="48"/>
      <c r="GG433" s="48"/>
      <c r="GH433" s="48"/>
      <c r="GI433" s="48"/>
      <c r="GJ433" s="8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77"/>
      <c r="GY433" s="77"/>
      <c r="GZ433" s="77"/>
    </row>
    <row r="434" spans="1:208">
      <c r="A434" s="48"/>
      <c r="B434" s="49"/>
      <c r="C434" s="50"/>
      <c r="D434" s="51"/>
      <c r="E434" s="50"/>
      <c r="F434" s="52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90"/>
      <c r="V434" s="91"/>
      <c r="W434" s="92"/>
      <c r="X434" s="92"/>
      <c r="Y434" s="92"/>
      <c r="Z434" s="91"/>
      <c r="AA434" s="93"/>
      <c r="AB434" s="99"/>
      <c r="AC434" s="54"/>
      <c r="AD434" s="54"/>
      <c r="AE434" s="54"/>
      <c r="AF434" s="54"/>
      <c r="AG434" s="54"/>
      <c r="AH434" s="54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113"/>
      <c r="BB434" s="110"/>
      <c r="BC434" s="110"/>
      <c r="BD434" s="110"/>
      <c r="BE434" s="110"/>
      <c r="BF434" s="110"/>
      <c r="BG434" s="110"/>
      <c r="BH434" s="110"/>
      <c r="BI434" s="113"/>
      <c r="BJ434" s="110"/>
      <c r="BK434" s="110"/>
      <c r="BL434" s="110"/>
      <c r="BM434" s="110"/>
      <c r="BN434" s="113"/>
      <c r="BO434" s="110"/>
      <c r="BP434" s="110"/>
      <c r="BQ434" s="110"/>
      <c r="BR434" s="110"/>
      <c r="BS434" s="110"/>
      <c r="BT434" s="110"/>
      <c r="BU434" s="110"/>
      <c r="BV434" s="110"/>
      <c r="BW434" s="110"/>
      <c r="BX434" s="113"/>
      <c r="BY434" s="110"/>
      <c r="BZ434" s="110"/>
      <c r="CA434" s="110"/>
      <c r="CB434" s="110"/>
      <c r="CC434" s="110"/>
      <c r="CD434" s="110"/>
      <c r="CE434" s="110"/>
      <c r="CF434" s="110"/>
      <c r="CG434" s="113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66"/>
      <c r="DA434" s="70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56"/>
      <c r="DR434" s="57"/>
      <c r="DS434" s="58"/>
      <c r="DT434" s="58"/>
      <c r="DU434" s="58"/>
      <c r="DV434" s="58"/>
      <c r="DW434" s="58"/>
      <c r="DX434" s="58"/>
      <c r="DY434" s="58"/>
      <c r="DZ434" s="59"/>
      <c r="EA434" s="60"/>
      <c r="EB434" s="61"/>
      <c r="EC434" s="62"/>
      <c r="ED434" s="2"/>
      <c r="EE434" s="63"/>
      <c r="EF434" s="63"/>
      <c r="EG434" s="63"/>
      <c r="EH434" s="63"/>
      <c r="EI434" s="63"/>
      <c r="EJ434" s="63"/>
      <c r="EK434" s="63"/>
      <c r="EL434" s="63"/>
      <c r="EM434" s="63"/>
      <c r="EN434" s="63"/>
      <c r="EO434" s="63"/>
      <c r="EP434" s="63"/>
      <c r="EQ434" s="63"/>
      <c r="ER434" s="63"/>
      <c r="ES434" s="63"/>
      <c r="ET434" s="63"/>
      <c r="EU434" s="80"/>
      <c r="EV434" s="64"/>
      <c r="EW434" s="64"/>
      <c r="EX434" s="64"/>
      <c r="EY434" s="64"/>
      <c r="EZ434" s="64"/>
      <c r="FA434" s="64"/>
      <c r="FB434" s="64"/>
      <c r="FC434" s="64"/>
      <c r="FD434" s="64"/>
      <c r="FE434" s="64"/>
      <c r="FF434" s="64"/>
      <c r="FG434" s="65"/>
      <c r="FH434" s="84"/>
      <c r="FI434" s="64"/>
      <c r="FJ434" s="8"/>
      <c r="FK434" s="48"/>
      <c r="FL434" s="48"/>
      <c r="FM434" s="48"/>
      <c r="FN434" s="48"/>
      <c r="FO434" s="48"/>
      <c r="FP434" s="48"/>
      <c r="FQ434" s="48"/>
      <c r="FR434" s="48"/>
      <c r="FS434" s="48"/>
      <c r="FT434" s="48"/>
      <c r="FU434" s="48"/>
      <c r="FV434" s="48"/>
      <c r="FW434" s="48"/>
      <c r="FX434" s="48"/>
      <c r="FY434" s="48"/>
      <c r="FZ434" s="48"/>
      <c r="GA434" s="48"/>
      <c r="GB434" s="48"/>
      <c r="GC434" s="48"/>
      <c r="GD434" s="48"/>
      <c r="GE434" s="48"/>
      <c r="GF434" s="48"/>
      <c r="GG434" s="48"/>
      <c r="GH434" s="48"/>
      <c r="GI434" s="48"/>
      <c r="GJ434" s="8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77"/>
      <c r="GY434" s="77"/>
      <c r="GZ434" s="77"/>
    </row>
    <row r="435" spans="1:208">
      <c r="A435" s="48"/>
      <c r="B435" s="49"/>
      <c r="C435" s="50"/>
      <c r="D435" s="51"/>
      <c r="E435" s="50"/>
      <c r="F435" s="52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90"/>
      <c r="V435" s="91"/>
      <c r="W435" s="92"/>
      <c r="X435" s="92"/>
      <c r="Y435" s="92"/>
      <c r="Z435" s="91"/>
      <c r="AA435" s="93"/>
      <c r="AB435" s="99"/>
      <c r="AC435" s="54"/>
      <c r="AD435" s="54"/>
      <c r="AE435" s="54"/>
      <c r="AF435" s="54"/>
      <c r="AG435" s="54"/>
      <c r="AH435" s="54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113"/>
      <c r="BB435" s="110"/>
      <c r="BC435" s="110"/>
      <c r="BD435" s="110"/>
      <c r="BE435" s="110"/>
      <c r="BF435" s="110"/>
      <c r="BG435" s="110"/>
      <c r="BH435" s="110"/>
      <c r="BI435" s="113"/>
      <c r="BJ435" s="110"/>
      <c r="BK435" s="110"/>
      <c r="BL435" s="110"/>
      <c r="BM435" s="110"/>
      <c r="BN435" s="113"/>
      <c r="BO435" s="110"/>
      <c r="BP435" s="110"/>
      <c r="BQ435" s="110"/>
      <c r="BR435" s="110"/>
      <c r="BS435" s="110"/>
      <c r="BT435" s="110"/>
      <c r="BU435" s="110"/>
      <c r="BV435" s="110"/>
      <c r="BW435" s="110"/>
      <c r="BX435" s="113"/>
      <c r="BY435" s="110"/>
      <c r="BZ435" s="110"/>
      <c r="CA435" s="110"/>
      <c r="CB435" s="110"/>
      <c r="CC435" s="110"/>
      <c r="CD435" s="110"/>
      <c r="CE435" s="110"/>
      <c r="CF435" s="110"/>
      <c r="CG435" s="113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66"/>
      <c r="DA435" s="70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56"/>
      <c r="DR435" s="57"/>
      <c r="DS435" s="58"/>
      <c r="DT435" s="58"/>
      <c r="DU435" s="58"/>
      <c r="DV435" s="58"/>
      <c r="DW435" s="58"/>
      <c r="DX435" s="58"/>
      <c r="DY435" s="58"/>
      <c r="DZ435" s="59"/>
      <c r="EA435" s="60"/>
      <c r="EB435" s="61"/>
      <c r="EC435" s="62"/>
      <c r="ED435" s="2"/>
      <c r="EE435" s="63"/>
      <c r="EF435" s="63"/>
      <c r="EG435" s="63"/>
      <c r="EH435" s="63"/>
      <c r="EI435" s="63"/>
      <c r="EJ435" s="63"/>
      <c r="EK435" s="63"/>
      <c r="EL435" s="63"/>
      <c r="EM435" s="63"/>
      <c r="EN435" s="63"/>
      <c r="EO435" s="63"/>
      <c r="EP435" s="63"/>
      <c r="EQ435" s="63"/>
      <c r="ER435" s="63"/>
      <c r="ES435" s="63"/>
      <c r="ET435" s="63"/>
      <c r="EU435" s="80"/>
      <c r="EV435" s="64"/>
      <c r="EW435" s="64"/>
      <c r="EX435" s="64"/>
      <c r="EY435" s="64"/>
      <c r="EZ435" s="64"/>
      <c r="FA435" s="64"/>
      <c r="FB435" s="64"/>
      <c r="FC435" s="64"/>
      <c r="FD435" s="64"/>
      <c r="FE435" s="64"/>
      <c r="FF435" s="64"/>
      <c r="FG435" s="65"/>
      <c r="FH435" s="84"/>
      <c r="FI435" s="64"/>
      <c r="FJ435" s="8"/>
      <c r="FK435" s="48"/>
      <c r="FL435" s="48"/>
      <c r="FM435" s="48"/>
      <c r="FN435" s="48"/>
      <c r="FO435" s="48"/>
      <c r="FP435" s="48"/>
      <c r="FQ435" s="48"/>
      <c r="FR435" s="48"/>
      <c r="FS435" s="48"/>
      <c r="FT435" s="48"/>
      <c r="FU435" s="48"/>
      <c r="FV435" s="48"/>
      <c r="FW435" s="48"/>
      <c r="FX435" s="48"/>
      <c r="FY435" s="48"/>
      <c r="FZ435" s="48"/>
      <c r="GA435" s="48"/>
      <c r="GB435" s="48"/>
      <c r="GC435" s="48"/>
      <c r="GD435" s="48"/>
      <c r="GE435" s="48"/>
      <c r="GF435" s="48"/>
      <c r="GG435" s="48"/>
      <c r="GH435" s="48"/>
      <c r="GI435" s="48"/>
      <c r="GJ435" s="8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77"/>
      <c r="GY435" s="77"/>
      <c r="GZ435" s="77"/>
    </row>
    <row r="436" spans="1:208">
      <c r="A436" s="48"/>
      <c r="B436" s="49"/>
      <c r="C436" s="50"/>
      <c r="D436" s="51"/>
      <c r="E436" s="50"/>
      <c r="F436" s="52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90"/>
      <c r="V436" s="91"/>
      <c r="W436" s="92"/>
      <c r="X436" s="92"/>
      <c r="Y436" s="92"/>
      <c r="Z436" s="91"/>
      <c r="AA436" s="93"/>
      <c r="AB436" s="99"/>
      <c r="AC436" s="54"/>
      <c r="AD436" s="54"/>
      <c r="AE436" s="54"/>
      <c r="AF436" s="54"/>
      <c r="AG436" s="54"/>
      <c r="AH436" s="54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113"/>
      <c r="BB436" s="110"/>
      <c r="BC436" s="110"/>
      <c r="BD436" s="110"/>
      <c r="BE436" s="110"/>
      <c r="BF436" s="110"/>
      <c r="BG436" s="110"/>
      <c r="BH436" s="110"/>
      <c r="BI436" s="113"/>
      <c r="BJ436" s="110"/>
      <c r="BK436" s="110"/>
      <c r="BL436" s="110"/>
      <c r="BM436" s="110"/>
      <c r="BN436" s="113"/>
      <c r="BO436" s="110"/>
      <c r="BP436" s="110"/>
      <c r="BQ436" s="110"/>
      <c r="BR436" s="110"/>
      <c r="BS436" s="110"/>
      <c r="BT436" s="110"/>
      <c r="BU436" s="110"/>
      <c r="BV436" s="110"/>
      <c r="BW436" s="110"/>
      <c r="BX436" s="113"/>
      <c r="BY436" s="110"/>
      <c r="BZ436" s="110"/>
      <c r="CA436" s="110"/>
      <c r="CB436" s="110"/>
      <c r="CC436" s="110"/>
      <c r="CD436" s="110"/>
      <c r="CE436" s="110"/>
      <c r="CF436" s="110"/>
      <c r="CG436" s="113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66"/>
      <c r="DA436" s="70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56"/>
      <c r="DR436" s="57"/>
      <c r="DS436" s="58"/>
      <c r="DT436" s="58"/>
      <c r="DU436" s="58"/>
      <c r="DV436" s="58"/>
      <c r="DW436" s="58"/>
      <c r="DX436" s="58"/>
      <c r="DY436" s="58"/>
      <c r="DZ436" s="59"/>
      <c r="EA436" s="60"/>
      <c r="EB436" s="61"/>
      <c r="EC436" s="62"/>
      <c r="ED436" s="2"/>
      <c r="EE436" s="63"/>
      <c r="EF436" s="63"/>
      <c r="EG436" s="63"/>
      <c r="EH436" s="63"/>
      <c r="EI436" s="63"/>
      <c r="EJ436" s="63"/>
      <c r="EK436" s="63"/>
      <c r="EL436" s="63"/>
      <c r="EM436" s="63"/>
      <c r="EN436" s="63"/>
      <c r="EO436" s="63"/>
      <c r="EP436" s="63"/>
      <c r="EQ436" s="63"/>
      <c r="ER436" s="63"/>
      <c r="ES436" s="63"/>
      <c r="ET436" s="63"/>
      <c r="EU436" s="80"/>
      <c r="EV436" s="64"/>
      <c r="EW436" s="64"/>
      <c r="EX436" s="64"/>
      <c r="EY436" s="64"/>
      <c r="EZ436" s="64"/>
      <c r="FA436" s="64"/>
      <c r="FB436" s="64"/>
      <c r="FC436" s="64"/>
      <c r="FD436" s="64"/>
      <c r="FE436" s="64"/>
      <c r="FF436" s="64"/>
      <c r="FG436" s="65"/>
      <c r="FH436" s="84"/>
      <c r="FI436" s="64"/>
      <c r="FJ436" s="8"/>
      <c r="FK436" s="48"/>
      <c r="FL436" s="48"/>
      <c r="FM436" s="48"/>
      <c r="FN436" s="48"/>
      <c r="FO436" s="48"/>
      <c r="FP436" s="48"/>
      <c r="FQ436" s="48"/>
      <c r="FR436" s="48"/>
      <c r="FS436" s="48"/>
      <c r="FT436" s="48"/>
      <c r="FU436" s="48"/>
      <c r="FV436" s="48"/>
      <c r="FW436" s="48"/>
      <c r="FX436" s="48"/>
      <c r="FY436" s="48"/>
      <c r="FZ436" s="48"/>
      <c r="GA436" s="48"/>
      <c r="GB436" s="48"/>
      <c r="GC436" s="48"/>
      <c r="GD436" s="48"/>
      <c r="GE436" s="48"/>
      <c r="GF436" s="48"/>
      <c r="GG436" s="48"/>
      <c r="GH436" s="48"/>
      <c r="GI436" s="48"/>
      <c r="GJ436" s="8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77"/>
      <c r="GY436" s="77"/>
      <c r="GZ436" s="77"/>
    </row>
    <row r="437" spans="1:208">
      <c r="A437" s="48"/>
      <c r="B437" s="49"/>
      <c r="C437" s="50"/>
      <c r="D437" s="51"/>
      <c r="E437" s="50"/>
      <c r="F437" s="52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90"/>
      <c r="V437" s="91"/>
      <c r="W437" s="92"/>
      <c r="X437" s="92"/>
      <c r="Y437" s="92"/>
      <c r="Z437" s="91"/>
      <c r="AA437" s="93"/>
      <c r="AB437" s="99"/>
      <c r="AC437" s="54"/>
      <c r="AD437" s="54"/>
      <c r="AE437" s="54"/>
      <c r="AF437" s="54"/>
      <c r="AG437" s="54"/>
      <c r="AH437" s="54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113"/>
      <c r="BB437" s="110"/>
      <c r="BC437" s="110"/>
      <c r="BD437" s="110"/>
      <c r="BE437" s="110"/>
      <c r="BF437" s="110"/>
      <c r="BG437" s="110"/>
      <c r="BH437" s="110"/>
      <c r="BI437" s="113"/>
      <c r="BJ437" s="110"/>
      <c r="BK437" s="110"/>
      <c r="BL437" s="110"/>
      <c r="BM437" s="110"/>
      <c r="BN437" s="113"/>
      <c r="BO437" s="110"/>
      <c r="BP437" s="110"/>
      <c r="BQ437" s="110"/>
      <c r="BR437" s="110"/>
      <c r="BS437" s="110"/>
      <c r="BT437" s="110"/>
      <c r="BU437" s="110"/>
      <c r="BV437" s="110"/>
      <c r="BW437" s="110"/>
      <c r="BX437" s="113"/>
      <c r="BY437" s="110"/>
      <c r="BZ437" s="110"/>
      <c r="CA437" s="110"/>
      <c r="CB437" s="110"/>
      <c r="CC437" s="110"/>
      <c r="CD437" s="110"/>
      <c r="CE437" s="110"/>
      <c r="CF437" s="110"/>
      <c r="CG437" s="113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66"/>
      <c r="DA437" s="70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56"/>
      <c r="DR437" s="57"/>
      <c r="DS437" s="58"/>
      <c r="DT437" s="58"/>
      <c r="DU437" s="58"/>
      <c r="DV437" s="58"/>
      <c r="DW437" s="58"/>
      <c r="DX437" s="58"/>
      <c r="DY437" s="58"/>
      <c r="DZ437" s="59"/>
      <c r="EA437" s="60"/>
      <c r="EB437" s="61"/>
      <c r="EC437" s="62"/>
      <c r="ED437" s="2"/>
      <c r="EE437" s="63"/>
      <c r="EF437" s="63"/>
      <c r="EG437" s="63"/>
      <c r="EH437" s="63"/>
      <c r="EI437" s="63"/>
      <c r="EJ437" s="63"/>
      <c r="EK437" s="63"/>
      <c r="EL437" s="63"/>
      <c r="EM437" s="63"/>
      <c r="EN437" s="63"/>
      <c r="EO437" s="63"/>
      <c r="EP437" s="63"/>
      <c r="EQ437" s="63"/>
      <c r="ER437" s="63"/>
      <c r="ES437" s="63"/>
      <c r="ET437" s="63"/>
      <c r="EU437" s="80"/>
      <c r="EV437" s="64"/>
      <c r="EW437" s="64"/>
      <c r="EX437" s="64"/>
      <c r="EY437" s="64"/>
      <c r="EZ437" s="64"/>
      <c r="FA437" s="64"/>
      <c r="FB437" s="64"/>
      <c r="FC437" s="64"/>
      <c r="FD437" s="64"/>
      <c r="FE437" s="64"/>
      <c r="FF437" s="64"/>
      <c r="FG437" s="65"/>
      <c r="FH437" s="84"/>
      <c r="FI437" s="64"/>
      <c r="FJ437" s="8"/>
      <c r="FK437" s="48"/>
      <c r="FL437" s="48"/>
      <c r="FM437" s="48"/>
      <c r="FN437" s="48"/>
      <c r="FO437" s="48"/>
      <c r="FP437" s="48"/>
      <c r="FQ437" s="48"/>
      <c r="FR437" s="48"/>
      <c r="FS437" s="48"/>
      <c r="FT437" s="48"/>
      <c r="FU437" s="48"/>
      <c r="FV437" s="48"/>
      <c r="FW437" s="48"/>
      <c r="FX437" s="48"/>
      <c r="FY437" s="48"/>
      <c r="FZ437" s="48"/>
      <c r="GA437" s="48"/>
      <c r="GB437" s="48"/>
      <c r="GC437" s="48"/>
      <c r="GD437" s="48"/>
      <c r="GE437" s="48"/>
      <c r="GF437" s="48"/>
      <c r="GG437" s="48"/>
      <c r="GH437" s="48"/>
      <c r="GI437" s="48"/>
      <c r="GJ437" s="8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77"/>
      <c r="GY437" s="77"/>
      <c r="GZ437" s="77"/>
    </row>
    <row r="438" spans="1:208">
      <c r="A438" s="48"/>
      <c r="B438" s="49"/>
      <c r="C438" s="50"/>
      <c r="D438" s="51"/>
      <c r="E438" s="50"/>
      <c r="F438" s="52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90"/>
      <c r="V438" s="91"/>
      <c r="W438" s="92"/>
      <c r="X438" s="92"/>
      <c r="Y438" s="92"/>
      <c r="Z438" s="91"/>
      <c r="AA438" s="93"/>
      <c r="AB438" s="99"/>
      <c r="AC438" s="54"/>
      <c r="AD438" s="54"/>
      <c r="AE438" s="54"/>
      <c r="AF438" s="54"/>
      <c r="AG438" s="54"/>
      <c r="AH438" s="54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113"/>
      <c r="BB438" s="110"/>
      <c r="BC438" s="110"/>
      <c r="BD438" s="110"/>
      <c r="BE438" s="110"/>
      <c r="BF438" s="110"/>
      <c r="BG438" s="110"/>
      <c r="BH438" s="110"/>
      <c r="BI438" s="113"/>
      <c r="BJ438" s="110"/>
      <c r="BK438" s="110"/>
      <c r="BL438" s="110"/>
      <c r="BM438" s="110"/>
      <c r="BN438" s="113"/>
      <c r="BO438" s="110"/>
      <c r="BP438" s="110"/>
      <c r="BQ438" s="110"/>
      <c r="BR438" s="110"/>
      <c r="BS438" s="110"/>
      <c r="BT438" s="110"/>
      <c r="BU438" s="110"/>
      <c r="BV438" s="110"/>
      <c r="BW438" s="110"/>
      <c r="BX438" s="113"/>
      <c r="BY438" s="110"/>
      <c r="BZ438" s="110"/>
      <c r="CA438" s="110"/>
      <c r="CB438" s="110"/>
      <c r="CC438" s="110"/>
      <c r="CD438" s="110"/>
      <c r="CE438" s="110"/>
      <c r="CF438" s="110"/>
      <c r="CG438" s="113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66"/>
      <c r="DA438" s="70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56"/>
      <c r="DR438" s="57"/>
      <c r="DS438" s="58"/>
      <c r="DT438" s="58"/>
      <c r="DU438" s="58"/>
      <c r="DV438" s="58"/>
      <c r="DW438" s="58"/>
      <c r="DX438" s="58"/>
      <c r="DY438" s="58"/>
      <c r="DZ438" s="59"/>
      <c r="EA438" s="60"/>
      <c r="EB438" s="61"/>
      <c r="EC438" s="62"/>
      <c r="ED438" s="2"/>
      <c r="EE438" s="63"/>
      <c r="EF438" s="63"/>
      <c r="EG438" s="63"/>
      <c r="EH438" s="63"/>
      <c r="EI438" s="63"/>
      <c r="EJ438" s="63"/>
      <c r="EK438" s="63"/>
      <c r="EL438" s="63"/>
      <c r="EM438" s="63"/>
      <c r="EN438" s="63"/>
      <c r="EO438" s="63"/>
      <c r="EP438" s="63"/>
      <c r="EQ438" s="63"/>
      <c r="ER438" s="63"/>
      <c r="ES438" s="63"/>
      <c r="ET438" s="63"/>
      <c r="EU438" s="80"/>
      <c r="EV438" s="64"/>
      <c r="EW438" s="64"/>
      <c r="EX438" s="64"/>
      <c r="EY438" s="64"/>
      <c r="EZ438" s="64"/>
      <c r="FA438" s="64"/>
      <c r="FB438" s="64"/>
      <c r="FC438" s="64"/>
      <c r="FD438" s="64"/>
      <c r="FE438" s="64"/>
      <c r="FF438" s="64"/>
      <c r="FG438" s="65"/>
      <c r="FH438" s="84"/>
      <c r="FI438" s="64"/>
      <c r="FJ438" s="8"/>
      <c r="FK438" s="48"/>
      <c r="FL438" s="48"/>
      <c r="FM438" s="48"/>
      <c r="FN438" s="48"/>
      <c r="FO438" s="48"/>
      <c r="FP438" s="48"/>
      <c r="FQ438" s="48"/>
      <c r="FR438" s="48"/>
      <c r="FS438" s="48"/>
      <c r="FT438" s="48"/>
      <c r="FU438" s="48"/>
      <c r="FV438" s="48"/>
      <c r="FW438" s="48"/>
      <c r="FX438" s="48"/>
      <c r="FY438" s="48"/>
      <c r="FZ438" s="48"/>
      <c r="GA438" s="48"/>
      <c r="GB438" s="48"/>
      <c r="GC438" s="48"/>
      <c r="GD438" s="48"/>
      <c r="GE438" s="48"/>
      <c r="GF438" s="48"/>
      <c r="GG438" s="48"/>
      <c r="GH438" s="48"/>
      <c r="GI438" s="48"/>
      <c r="GJ438" s="8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77"/>
      <c r="GY438" s="77"/>
      <c r="GZ438" s="77"/>
    </row>
    <row r="439" spans="1:208">
      <c r="A439" s="48"/>
      <c r="B439" s="49"/>
      <c r="C439" s="50"/>
      <c r="D439" s="51"/>
      <c r="E439" s="50"/>
      <c r="F439" s="52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90"/>
      <c r="V439" s="91"/>
      <c r="W439" s="92"/>
      <c r="X439" s="92"/>
      <c r="Y439" s="92"/>
      <c r="Z439" s="91"/>
      <c r="AA439" s="93"/>
      <c r="AB439" s="99"/>
      <c r="AC439" s="54"/>
      <c r="AD439" s="54"/>
      <c r="AE439" s="54"/>
      <c r="AF439" s="54"/>
      <c r="AG439" s="54"/>
      <c r="AH439" s="54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113"/>
      <c r="BB439" s="110"/>
      <c r="BC439" s="110"/>
      <c r="BD439" s="110"/>
      <c r="BE439" s="110"/>
      <c r="BF439" s="110"/>
      <c r="BG439" s="110"/>
      <c r="BH439" s="110"/>
      <c r="BI439" s="113"/>
      <c r="BJ439" s="110"/>
      <c r="BK439" s="110"/>
      <c r="BL439" s="110"/>
      <c r="BM439" s="110"/>
      <c r="BN439" s="113"/>
      <c r="BO439" s="110"/>
      <c r="BP439" s="110"/>
      <c r="BQ439" s="110"/>
      <c r="BR439" s="110"/>
      <c r="BS439" s="110"/>
      <c r="BT439" s="110"/>
      <c r="BU439" s="110"/>
      <c r="BV439" s="110"/>
      <c r="BW439" s="110"/>
      <c r="BX439" s="113"/>
      <c r="BY439" s="110"/>
      <c r="BZ439" s="110"/>
      <c r="CA439" s="110"/>
      <c r="CB439" s="110"/>
      <c r="CC439" s="110"/>
      <c r="CD439" s="110"/>
      <c r="CE439" s="110"/>
      <c r="CF439" s="110"/>
      <c r="CG439" s="113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66"/>
      <c r="DA439" s="70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56"/>
      <c r="DR439" s="57"/>
      <c r="DS439" s="58"/>
      <c r="DT439" s="58"/>
      <c r="DU439" s="58"/>
      <c r="DV439" s="58"/>
      <c r="DW439" s="58"/>
      <c r="DX439" s="58"/>
      <c r="DY439" s="58"/>
      <c r="DZ439" s="59"/>
      <c r="EA439" s="60"/>
      <c r="EB439" s="61"/>
      <c r="EC439" s="62"/>
      <c r="ED439" s="2"/>
      <c r="EE439" s="63"/>
      <c r="EF439" s="63"/>
      <c r="EG439" s="63"/>
      <c r="EH439" s="63"/>
      <c r="EI439" s="63"/>
      <c r="EJ439" s="63"/>
      <c r="EK439" s="63"/>
      <c r="EL439" s="63"/>
      <c r="EM439" s="63"/>
      <c r="EN439" s="63"/>
      <c r="EO439" s="63"/>
      <c r="EP439" s="63"/>
      <c r="EQ439" s="63"/>
      <c r="ER439" s="63"/>
      <c r="ES439" s="63"/>
      <c r="ET439" s="63"/>
      <c r="EU439" s="80"/>
      <c r="EV439" s="64"/>
      <c r="EW439" s="64"/>
      <c r="EX439" s="64"/>
      <c r="EY439" s="64"/>
      <c r="EZ439" s="64"/>
      <c r="FA439" s="64"/>
      <c r="FB439" s="64"/>
      <c r="FC439" s="64"/>
      <c r="FD439" s="64"/>
      <c r="FE439" s="64"/>
      <c r="FF439" s="64"/>
      <c r="FG439" s="65"/>
      <c r="FH439" s="84"/>
      <c r="FI439" s="64"/>
      <c r="FJ439" s="8"/>
      <c r="FK439" s="48"/>
      <c r="FL439" s="48"/>
      <c r="FM439" s="48"/>
      <c r="FN439" s="48"/>
      <c r="FO439" s="48"/>
      <c r="FP439" s="48"/>
      <c r="FQ439" s="48"/>
      <c r="FR439" s="48"/>
      <c r="FS439" s="48"/>
      <c r="FT439" s="48"/>
      <c r="FU439" s="48"/>
      <c r="FV439" s="48"/>
      <c r="FW439" s="48"/>
      <c r="FX439" s="48"/>
      <c r="FY439" s="48"/>
      <c r="FZ439" s="48"/>
      <c r="GA439" s="48"/>
      <c r="GB439" s="48"/>
      <c r="GC439" s="48"/>
      <c r="GD439" s="48"/>
      <c r="GE439" s="48"/>
      <c r="GF439" s="48"/>
      <c r="GG439" s="48"/>
      <c r="GH439" s="48"/>
      <c r="GI439" s="48"/>
      <c r="GJ439" s="8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77"/>
      <c r="GY439" s="77"/>
      <c r="GZ439" s="77"/>
    </row>
    <row r="440" spans="1:208">
      <c r="A440" s="48"/>
      <c r="B440" s="49"/>
      <c r="C440" s="50"/>
      <c r="D440" s="51"/>
      <c r="E440" s="50"/>
      <c r="F440" s="52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90"/>
      <c r="V440" s="91"/>
      <c r="W440" s="92"/>
      <c r="X440" s="92"/>
      <c r="Y440" s="92"/>
      <c r="Z440" s="91"/>
      <c r="AA440" s="93"/>
      <c r="AB440" s="99"/>
      <c r="AC440" s="54"/>
      <c r="AD440" s="54"/>
      <c r="AE440" s="54"/>
      <c r="AF440" s="54"/>
      <c r="AG440" s="54"/>
      <c r="AH440" s="54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113"/>
      <c r="BB440" s="110"/>
      <c r="BC440" s="110"/>
      <c r="BD440" s="110"/>
      <c r="BE440" s="110"/>
      <c r="BF440" s="110"/>
      <c r="BG440" s="110"/>
      <c r="BH440" s="110"/>
      <c r="BI440" s="113"/>
      <c r="BJ440" s="110"/>
      <c r="BK440" s="110"/>
      <c r="BL440" s="110"/>
      <c r="BM440" s="110"/>
      <c r="BN440" s="113"/>
      <c r="BO440" s="110"/>
      <c r="BP440" s="110"/>
      <c r="BQ440" s="110"/>
      <c r="BR440" s="110"/>
      <c r="BS440" s="110"/>
      <c r="BT440" s="110"/>
      <c r="BU440" s="110"/>
      <c r="BV440" s="110"/>
      <c r="BW440" s="110"/>
      <c r="BX440" s="113"/>
      <c r="BY440" s="110"/>
      <c r="BZ440" s="110"/>
      <c r="CA440" s="110"/>
      <c r="CB440" s="110"/>
      <c r="CC440" s="110"/>
      <c r="CD440" s="110"/>
      <c r="CE440" s="110"/>
      <c r="CF440" s="110"/>
      <c r="CG440" s="113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66"/>
      <c r="DA440" s="70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56"/>
      <c r="DR440" s="57"/>
      <c r="DS440" s="58"/>
      <c r="DT440" s="58"/>
      <c r="DU440" s="58"/>
      <c r="DV440" s="58"/>
      <c r="DW440" s="58"/>
      <c r="DX440" s="58"/>
      <c r="DY440" s="58"/>
      <c r="DZ440" s="59"/>
      <c r="EA440" s="60"/>
      <c r="EB440" s="61"/>
      <c r="EC440" s="62"/>
      <c r="ED440" s="2"/>
      <c r="EE440" s="63"/>
      <c r="EF440" s="63"/>
      <c r="EG440" s="63"/>
      <c r="EH440" s="63"/>
      <c r="EI440" s="63"/>
      <c r="EJ440" s="63"/>
      <c r="EK440" s="63"/>
      <c r="EL440" s="63"/>
      <c r="EM440" s="63"/>
      <c r="EN440" s="63"/>
      <c r="EO440" s="63"/>
      <c r="EP440" s="63"/>
      <c r="EQ440" s="63"/>
      <c r="ER440" s="63"/>
      <c r="ES440" s="63"/>
      <c r="ET440" s="63"/>
      <c r="EU440" s="80"/>
      <c r="EV440" s="64"/>
      <c r="EW440" s="64"/>
      <c r="EX440" s="64"/>
      <c r="EY440" s="64"/>
      <c r="EZ440" s="64"/>
      <c r="FA440" s="64"/>
      <c r="FB440" s="64"/>
      <c r="FC440" s="64"/>
      <c r="FD440" s="64"/>
      <c r="FE440" s="64"/>
      <c r="FF440" s="64"/>
      <c r="FG440" s="65"/>
      <c r="FH440" s="84"/>
      <c r="FI440" s="64"/>
      <c r="FJ440" s="8"/>
      <c r="FK440" s="48"/>
      <c r="FL440" s="48"/>
      <c r="FM440" s="48"/>
      <c r="FN440" s="48"/>
      <c r="FO440" s="48"/>
      <c r="FP440" s="48"/>
      <c r="FQ440" s="48"/>
      <c r="FR440" s="48"/>
      <c r="FS440" s="48"/>
      <c r="FT440" s="48"/>
      <c r="FU440" s="48"/>
      <c r="FV440" s="48"/>
      <c r="FW440" s="48"/>
      <c r="FX440" s="48"/>
      <c r="FY440" s="48"/>
      <c r="FZ440" s="48"/>
      <c r="GA440" s="48"/>
      <c r="GB440" s="48"/>
      <c r="GC440" s="48"/>
      <c r="GD440" s="48"/>
      <c r="GE440" s="48"/>
      <c r="GF440" s="48"/>
      <c r="GG440" s="48"/>
      <c r="GH440" s="48"/>
      <c r="GI440" s="48"/>
      <c r="GJ440" s="8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77"/>
      <c r="GY440" s="77"/>
      <c r="GZ440" s="77"/>
    </row>
  </sheetData>
  <mergeCells count="10">
    <mergeCell ref="EV3:FE3"/>
    <mergeCell ref="FJ3:GZ3"/>
    <mergeCell ref="CH1:DQ1"/>
    <mergeCell ref="U1:AI1"/>
    <mergeCell ref="C1:T1"/>
    <mergeCell ref="AK1:BA1"/>
    <mergeCell ref="BB1:BI1"/>
    <mergeCell ref="BJ1:BN1"/>
    <mergeCell ref="BO1:BX1"/>
    <mergeCell ref="BY1:CG1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 Scale Ver2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Kyungjin Yu</cp:lastModifiedBy>
  <cp:lastPrinted>2026-08-21T05:06:49Z</cp:lastPrinted>
  <dcterms:created xsi:type="dcterms:W3CDTF">2026-02-11T00:23:21Z</dcterms:created>
  <dcterms:modified xsi:type="dcterms:W3CDTF">2026-08-27T03:11:20Z</dcterms:modified>
</cp:coreProperties>
</file>